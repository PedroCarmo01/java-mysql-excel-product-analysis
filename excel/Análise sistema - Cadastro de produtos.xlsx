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6540" activeTab="3"/>
  </bookViews>
  <sheets>
    <sheet name="Dados puxados do sistema" sheetId="2" r:id="rId1"/>
    <sheet name="Dados tratados" sheetId="3" r:id="rId2"/>
    <sheet name="Tabela Dinâmica" sheetId="6" r:id="rId3"/>
    <sheet name="Dashboard" sheetId="8" r:id="rId4"/>
  </sheets>
  <definedNames>
    <definedName name="_xlchart.0" hidden="1">'Dados tratados'!$D$2</definedName>
    <definedName name="_xlchart.1" hidden="1">'Dados tratados'!$D$3:$D$64</definedName>
    <definedName name="_xlchart.10" hidden="1">'Dados tratados'!$D$2</definedName>
    <definedName name="_xlchart.11" hidden="1">'Dados tratados'!$D$3:$D$64</definedName>
    <definedName name="_xlchart.12" hidden="1">'Dados tratados'!$D$2</definedName>
    <definedName name="_xlchart.13" hidden="1">'Dados tratados'!$D$3:$D$64</definedName>
    <definedName name="_xlchart.2" hidden="1">'Dados tratados'!$D$2</definedName>
    <definedName name="_xlchart.3" hidden="1">'Dados tratados'!$D$3:$D$64</definedName>
    <definedName name="_xlchart.4" hidden="1">'Dados tratados'!$D$2</definedName>
    <definedName name="_xlchart.5" hidden="1">'Dados tratados'!$D$3:$D$64</definedName>
    <definedName name="_xlchart.6" hidden="1">'Dados tratados'!$D$2</definedName>
    <definedName name="_xlchart.7" hidden="1">'Dados tratados'!$D$3:$D$64</definedName>
    <definedName name="_xlchart.8" hidden="1">'Dados tratados'!$D$2</definedName>
    <definedName name="_xlchart.9" hidden="1">'Dados tratados'!$D$3:$D$64</definedName>
    <definedName name="produtos" localSheetId="0">'Dados puxados do sistema'!$B$2:$B$64</definedName>
    <definedName name="produtos_1" localSheetId="1">'Dados tratados'!$B$2:$D$64</definedName>
  </definedNames>
  <calcPr calcId="162913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3" i="3"/>
</calcChain>
</file>

<file path=xl/connections.xml><?xml version="1.0" encoding="utf-8"?>
<connections xmlns="http://schemas.openxmlformats.org/spreadsheetml/2006/main">
  <connection id="1" name="produtos" type="6" refreshedVersion="6" background="1" saveData="1">
    <textPr codePage="65001" sourceFile="C:\Users\user\Documents\NetBeansProjects\CadastroProdutos\produtos.csv" decimal="," thousands="." semicolon="1">
      <textFields count="3">
        <textField/>
        <textField/>
        <textField/>
      </textFields>
    </textPr>
  </connection>
  <connection id="2" name="produtos1" type="6" refreshedVersion="6" background="1" saveData="1">
    <textPr sourceFile="C:\Users\user\Documents\NetBeansProjects\CadastroProdutos\produtos.csv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<sst xmlns="http://schemas.openxmlformats.org/spreadsheetml/2006/main" count="222" uniqueCount="154">
  <si>
    <t>ID</t>
  </si>
  <si>
    <t>Descricao</t>
  </si>
  <si>
    <t>Preco</t>
  </si>
  <si>
    <t>SSD 500GB</t>
  </si>
  <si>
    <t>SSD 1TB</t>
  </si>
  <si>
    <t>SSD 240GB</t>
  </si>
  <si>
    <t>ID;Descricao;Preco</t>
  </si>
  <si>
    <t>1;Notebook i7;2850.0</t>
  </si>
  <si>
    <t>3;Mouse;29.9</t>
  </si>
  <si>
    <t>4;Mouse Pad;15.0</t>
  </si>
  <si>
    <t>6;PC Gamer;5300.0</t>
  </si>
  <si>
    <t>8;Controle PS5;500.0</t>
  </si>
  <si>
    <t>9;Teclado;80.0</t>
  </si>
  <si>
    <t>10;Monitor 19;550.0</t>
  </si>
  <si>
    <t>11;Monitor 24;800.0</t>
  </si>
  <si>
    <t>13;Notebook Gamer;4500.0</t>
  </si>
  <si>
    <t>14;Cadeira Simples;300.0</t>
  </si>
  <si>
    <t>15;Cadeira Gamer;1200.0</t>
  </si>
  <si>
    <t>17;Headset;150.0</t>
  </si>
  <si>
    <t>18;Caixa de Som;200.0</t>
  </si>
  <si>
    <t>19;Webcam;130.0</t>
  </si>
  <si>
    <t>20;HD Externo;400.0</t>
  </si>
  <si>
    <t>21;SSD 500GB;350.0</t>
  </si>
  <si>
    <t>22;SSD 1TB;600.0</t>
  </si>
  <si>
    <t>23;Pen Drive 32GB;50.0</t>
  </si>
  <si>
    <t>24;Impressora;500.0</t>
  </si>
  <si>
    <t>25;Roteador;250.0</t>
  </si>
  <si>
    <t>26;Switch de Rede;300.0</t>
  </si>
  <si>
    <t>29;Tablet;900.0</t>
  </si>
  <si>
    <t>31;Smartphone Premium;3500.0</t>
  </si>
  <si>
    <t>32;Smart TV 32;1200.0</t>
  </si>
  <si>
    <t>33;Smart TV 50;2800.0</t>
  </si>
  <si>
    <t>38;Pen Drive 16GB;35.0</t>
  </si>
  <si>
    <t>39;Carregador de Notebook;70.0</t>
  </si>
  <si>
    <t>40;Fone de ouvido Bluetooth;55.0</t>
  </si>
  <si>
    <t>41;Apple Watch;2049.9</t>
  </si>
  <si>
    <t>42;Playstation 5 - 2 Controles;3899.9</t>
  </si>
  <si>
    <t>43;Pen Drive - 50 Jogos;130.0</t>
  </si>
  <si>
    <t>44;Mouse Gamer RGB;150.0</t>
  </si>
  <si>
    <t>45;Teclado Sem Fio;180.0</t>
  </si>
  <si>
    <t>46;Monitor Ultrawide 29;1600.0</t>
  </si>
  <si>
    <t>47;Monitor 27 144Hz;2100.0</t>
  </si>
  <si>
    <t>49;Notebook Ultrafino;4000.0</t>
  </si>
  <si>
    <t>50;Headset Profissional;350.0</t>
  </si>
  <si>
    <t>51;Fone Bluetooth;220.0</t>
  </si>
  <si>
    <t>52;Caixa de Som JBL;450.0</t>
  </si>
  <si>
    <t>53;Webcam Full HD Pro;280.0</t>
  </si>
  <si>
    <t>54;HD Externo 1TB;350.0</t>
  </si>
  <si>
    <t>55;HD Externo 4TB;750.0</t>
  </si>
  <si>
    <t>56;SSD 240GB;200.0</t>
  </si>
  <si>
    <t>57;SSD NVMe 1TB;900.0</t>
  </si>
  <si>
    <t>58;Pen Drive 64GB;60.0</t>
  </si>
  <si>
    <t>59;Pen Drive 128GB;90.0</t>
  </si>
  <si>
    <t>60;Impressora Multifuncional;800.0</t>
  </si>
  <si>
    <t>61;Roteador Wi-Fi 6;600.0</t>
  </si>
  <si>
    <t>62;Switch 24 Portas;900.0</t>
  </si>
  <si>
    <t>63;Servidor Rack;15000.0</t>
  </si>
  <si>
    <t>66;Smartphone Top de Linha;5000.0</t>
  </si>
  <si>
    <t>67;Smart TV 65;4000.0</t>
  </si>
  <si>
    <t>68;Smart TV 75;6500.0</t>
  </si>
  <si>
    <t>73;Controle roxo PS5;450.0</t>
  </si>
  <si>
    <t>12;Notebook BÃ¡sico;2200.0</t>
  </si>
  <si>
    <t>16;Mesa EscritÃ³rio;700.0</t>
  </si>
  <si>
    <t>27;Servidor BÃ¡sico;6000.0</t>
  </si>
  <si>
    <t>28;Servidor AvanÃ§ado;12000.0</t>
  </si>
  <si>
    <t>30;Smartphone BÃ¡sico;1000.0</t>
  </si>
  <si>
    <t>48;Notebook IntermediÃ¡rio;3200.0</t>
  </si>
  <si>
    <t>64;Tablet AvanÃ§ado;1800.0</t>
  </si>
  <si>
    <t>65;Smartphone IntermediÃ¡rio;1800.0</t>
  </si>
  <si>
    <t>NOTEBOOK I7</t>
  </si>
  <si>
    <t>MOUSE</t>
  </si>
  <si>
    <t>MOUSE PAD</t>
  </si>
  <si>
    <t>PC GAMER</t>
  </si>
  <si>
    <t>CONTROLE PS5</t>
  </si>
  <si>
    <t>TECLADO</t>
  </si>
  <si>
    <t>MONITOR 19</t>
  </si>
  <si>
    <t>MONITOR 24</t>
  </si>
  <si>
    <t>NOTEBOOK BÁSICO</t>
  </si>
  <si>
    <t>NOTEBOOK GAMER</t>
  </si>
  <si>
    <t>CADEIRA SIMPLES</t>
  </si>
  <si>
    <t>CADEIRA GAMER</t>
  </si>
  <si>
    <t>MESA ESCRITÓRIO</t>
  </si>
  <si>
    <t>HEADSET</t>
  </si>
  <si>
    <t>CAIXA DE SOM</t>
  </si>
  <si>
    <t>WEBCAM</t>
  </si>
  <si>
    <t>HD EXTERNO</t>
  </si>
  <si>
    <t>PEN DRIVE 32GB</t>
  </si>
  <si>
    <t>IMPRESSORA</t>
  </si>
  <si>
    <t>ROTEADOR</t>
  </si>
  <si>
    <t>SWITCH DE REDE</t>
  </si>
  <si>
    <t>SERVIDOR BÁSICO</t>
  </si>
  <si>
    <t>SERVIDOR AVANÇADO</t>
  </si>
  <si>
    <t>TABLET</t>
  </si>
  <si>
    <t>SMARTPHONE BÁSICO</t>
  </si>
  <si>
    <t>SMARTPHONE PREMIUM</t>
  </si>
  <si>
    <t>SMART TV 32</t>
  </si>
  <si>
    <t>SMART TV 50</t>
  </si>
  <si>
    <t>PEN DRIVE 16GB</t>
  </si>
  <si>
    <t>CARREGADOR DE NOTEBOOK</t>
  </si>
  <si>
    <t>FONE DE OUVIDO BLUETOOTH</t>
  </si>
  <si>
    <t>APPLE WATCH</t>
  </si>
  <si>
    <t>PLAYSTATION 5 - 2 CONTROLES</t>
  </si>
  <si>
    <t>PEN DRIVE - 50 JOGOS</t>
  </si>
  <si>
    <t>MOUSE GAMER RGB</t>
  </si>
  <si>
    <t>TECLADO SEM FIO</t>
  </si>
  <si>
    <t>MONITOR ULTRAWIDE 29</t>
  </si>
  <si>
    <t>MONITOR 27 144HZ</t>
  </si>
  <si>
    <t>NOTEBOOK INTERMEDIÁRIO</t>
  </si>
  <si>
    <t>NOTEBOOK ULTRAFINO</t>
  </si>
  <si>
    <t>HEADSET PROFISSIONAL</t>
  </si>
  <si>
    <t>FONE BLUETOOTH</t>
  </si>
  <si>
    <t>CAIXA DE SOM JBL</t>
  </si>
  <si>
    <t>WEBCAM FULL HD PRO</t>
  </si>
  <si>
    <t>HD EXTERNO 1TB</t>
  </si>
  <si>
    <t>HD EXTERNO 4TB</t>
  </si>
  <si>
    <t>SSD NVME 1TB</t>
  </si>
  <si>
    <t>PEN DRIVE 64GB</t>
  </si>
  <si>
    <t>PEN DRIVE 128GB</t>
  </si>
  <si>
    <t>IMPRESSORA MULTIFUNCIONAL</t>
  </si>
  <si>
    <t>ROTEADOR WI-FI 6</t>
  </si>
  <si>
    <t>SWITCH 24 PORTAS</t>
  </si>
  <si>
    <t>SERVIDOR RACK</t>
  </si>
  <si>
    <t>TABLET AVANÇADO</t>
  </si>
  <si>
    <t>SMARTPHONE INTERMEDIÁRIO</t>
  </si>
  <si>
    <t>SMARTPHONE TOP DE LINHA</t>
  </si>
  <si>
    <t>SMART TV 65</t>
  </si>
  <si>
    <t>SMART TV 75</t>
  </si>
  <si>
    <t>CONTROLE ROXO PS5</t>
  </si>
  <si>
    <t>Total Geral</t>
  </si>
  <si>
    <t>Frequência Absoluta</t>
  </si>
  <si>
    <t>Frequência Relativa</t>
  </si>
  <si>
    <t>Produtos</t>
  </si>
  <si>
    <t>Frequência Acumulada</t>
  </si>
  <si>
    <t>Categoria</t>
  </si>
  <si>
    <t>Barato</t>
  </si>
  <si>
    <t>Caro</t>
  </si>
  <si>
    <t>Médio</t>
  </si>
  <si>
    <t>Categoria produto</t>
  </si>
  <si>
    <t>Total de produtos por Categoria</t>
  </si>
  <si>
    <t>Insigths</t>
  </si>
  <si>
    <t>1. A maioria dos produtos está concentrada na faixa de menor preço {51,61%}</t>
  </si>
  <si>
    <t>3. Os produtos foram classificados em faixas de preço fixas</t>
  </si>
  <si>
    <t>4. A média é influenciada por produtos de alto valor, o que eleva o valor médio geral</t>
  </si>
  <si>
    <t>5. A média geral se posiciona na faixa de produtos considerados caros</t>
  </si>
  <si>
    <t>2. A predominância de produtos está localizado nas faixas extremas de preço (barato e caro)</t>
  </si>
  <si>
    <t>4. Menor concentração na faixa de preços médio {16,13%}</t>
  </si>
  <si>
    <t xml:space="preserve">1. O Produto mais caro é o SERVIDOR RACK com valor de (R$15.000,00) </t>
  </si>
  <si>
    <t>2. O Produto mais barato é o MOUSE PAD com valor de (R$15,00)</t>
  </si>
  <si>
    <t>3. A média de preço por produto é de (R$1.731,04)</t>
  </si>
  <si>
    <t>ANÁLISE EXPLORATÓRIA DE PREÇOS E CATEGORIAS DE PRODUTOS</t>
  </si>
  <si>
    <t>Produto mais caro: Servidor Rack (R$15.000,00)</t>
  </si>
  <si>
    <t>Produto mais barato: Mouse Pad (R$15,00)</t>
  </si>
  <si>
    <t>Média de produtos (R$1.731,04)</t>
  </si>
  <si>
    <t>Total de produtos: 62 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</si>
</sst>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98F8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44" fontId="0" fillId="0" borderId="0" xfId="0" applyNumberFormat="1"/>
    <xf numFmtId="0" fontId="2" fillId="0" borderId="0" xfId="0" applyFont="1"/>
    <xf numFmtId="3" fontId="0" fillId="0" borderId="0" xfId="0" applyNumberFormat="1"/>
    <xf numFmtId="0" fontId="0" fillId="2" borderId="0" xfId="0" applyFill="1" applyBorder="1"/>
    <xf numFmtId="0" fontId="0" fillId="3" borderId="0" xfId="0" applyFill="1" applyBorder="1"/>
    <xf numFmtId="0" fontId="3" fillId="3" borderId="0" xfId="0" applyFont="1" applyFill="1" applyBorder="1" applyAlignment="1">
      <alignment horizontal="center"/>
    </xf>
    <xf numFmtId="0" fontId="4" fillId="3" borderId="0" xfId="0" applyFont="1" applyFill="1"/>
    <xf numFmtId="0" fontId="2" fillId="3" borderId="0" xfId="0" applyFont="1" applyFill="1" applyBorder="1"/>
  </cellXfs>
  <cellStyles count="2">
    <cellStyle name="Moeda" xfId="1" builtinId="4"/>
    <cellStyle name="Normal" xfId="0" builtinId="0"/>
  </cellStyles>
  <dxfs count="8">
    <dxf>
      <numFmt numFmtId="3" formatCode="#,##0"/>
    </dxf>
    <dxf>
      <numFmt numFmtId="164" formatCode="&quot;R$&quot;\ 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R$&quot;\ #,##0.00"/>
    </dxf>
    <dxf>
      <numFmt numFmtId="164" formatCode="&quot;R$&quot;\ #,##0.00"/>
    </dxf>
  </dxfs>
  <tableStyles count="0" defaultTableStyle="TableStyleMedium2" defaultPivotStyle="PivotStyleLight16"/>
  <colors>
    <mruColors>
      <color rgb="FF298F88"/>
      <color rgb="FF5289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sistema - Cadastro de produtos.xlsx]Tabela Dinâmica!Tabela dinâmica5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ln w="3175">
                    <a:solidFill>
                      <a:schemeClr val="tx1">
                        <a:lumMod val="50000"/>
                        <a:lumOff val="50000"/>
                      </a:schemeClr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'Tabela Dinâmica'!$I$10</c:f>
              <c:strCache>
                <c:ptCount val="1"/>
                <c:pt idx="0">
                  <c:v>Total de produtos por Categoria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295-4A45-AC47-44AB59096E46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295-4A45-AC47-44AB59096E46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295-4A45-AC47-44AB59096E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ln w="3175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'Tabela Dinâmica'!$H$11:$H$14</c:f>
              <c:strCache>
                <c:ptCount val="3"/>
                <c:pt idx="0">
                  <c:v>Barato</c:v>
                </c:pt>
                <c:pt idx="1">
                  <c:v>Caro</c:v>
                </c:pt>
                <c:pt idx="2">
                  <c:v>Médio</c:v>
                </c:pt>
              </c:strCache>
            </c:strRef>
          </c:cat>
          <c:val>
            <c:numRef>
              <c:f>'Tabela Dinâmica'!$I$11:$I$14</c:f>
              <c:numCache>
                <c:formatCode>#,##0</c:formatCode>
                <c:ptCount val="3"/>
                <c:pt idx="0">
                  <c:v>32</c:v>
                </c:pt>
                <c:pt idx="1">
                  <c:v>20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5-4A45-AC47-44AB59096E46}"/>
            </c:ext>
          </c:extLst>
        </c:ser>
        <c:ser>
          <c:idx val="1"/>
          <c:order val="1"/>
          <c:tx>
            <c:strRef>
              <c:f>'Tabela Dinâmica'!$J$10</c:f>
              <c:strCache>
                <c:ptCount val="1"/>
                <c:pt idx="0">
                  <c:v>Frequência Relativa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'Tabela Dinâmica'!$H$11:$H$14</c:f>
              <c:strCache>
                <c:ptCount val="3"/>
                <c:pt idx="0">
                  <c:v>Barato</c:v>
                </c:pt>
                <c:pt idx="1">
                  <c:v>Caro</c:v>
                </c:pt>
                <c:pt idx="2">
                  <c:v>Médio</c:v>
                </c:pt>
              </c:strCache>
            </c:strRef>
          </c:cat>
          <c:val>
            <c:numRef>
              <c:f>'Tabela Dinâmica'!$J$11:$J$14</c:f>
              <c:numCache>
                <c:formatCode>0.00%</c:formatCode>
                <c:ptCount val="3"/>
                <c:pt idx="0">
                  <c:v>0.5161290322580645</c:v>
                </c:pt>
                <c:pt idx="1">
                  <c:v>0.32258064516129031</c:v>
                </c:pt>
                <c:pt idx="2">
                  <c:v>0.16129032258064516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95-4A45-AC47-44AB59096E46}"/>
            </c:ext>
          </c:extLst>
        </c:ser>
        <c:ser>
          <c:idx val="2"/>
          <c:order val="2"/>
          <c:tx>
            <c:strRef>
              <c:f>'Tabela Dinâmica'!$K$10</c:f>
              <c:strCache>
                <c:ptCount val="1"/>
                <c:pt idx="0">
                  <c:v>Frequência Absoluta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'Tabela Dinâmica'!$H$11:$H$14</c:f>
              <c:strCache>
                <c:ptCount val="3"/>
                <c:pt idx="0">
                  <c:v>Barato</c:v>
                </c:pt>
                <c:pt idx="1">
                  <c:v>Caro</c:v>
                </c:pt>
                <c:pt idx="2">
                  <c:v>Médio</c:v>
                </c:pt>
              </c:strCache>
            </c:strRef>
          </c:cat>
          <c:val>
            <c:numRef>
              <c:f>'Tabela Dinâmica'!$K$11:$K$14</c:f>
              <c:numCache>
                <c:formatCode>0.00%</c:formatCode>
                <c:ptCount val="3"/>
                <c:pt idx="0">
                  <c:v>0.5161290322580645</c:v>
                </c:pt>
                <c:pt idx="1">
                  <c:v>0.83870967741935487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95-4A45-AC47-44AB59096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sistema - Cadastro de produtos.xlsx]Tabela Dinâmica!Tabela dinâmica5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bg1"/>
                </a:solidFill>
              </a:rPr>
              <a:t>Proporção de produtos por Categoria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ln w="3175">
                    <a:solidFill>
                      <a:schemeClr val="tx1">
                        <a:lumMod val="50000"/>
                        <a:lumOff val="50000"/>
                      </a:schemeClr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ln w="3175">
                    <a:solidFill>
                      <a:schemeClr val="tx1">
                        <a:lumMod val="50000"/>
                        <a:lumOff val="50000"/>
                      </a:schemeClr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ln w="3175">
                    <a:solidFill>
                      <a:schemeClr val="tx1">
                        <a:lumMod val="50000"/>
                        <a:lumOff val="50000"/>
                      </a:schemeClr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9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52893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1270"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'Tabela Dinâmica'!$I$10</c:f>
              <c:strCache>
                <c:ptCount val="1"/>
                <c:pt idx="0">
                  <c:v>Total de produtos por Categoria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45-43DB-B802-1534B672E1D5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45-43DB-B802-1534B672E1D5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45-43DB-B802-1534B672E1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1270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'Tabela Dinâmica'!$H$11:$H$14</c:f>
              <c:strCache>
                <c:ptCount val="3"/>
                <c:pt idx="0">
                  <c:v>Barato</c:v>
                </c:pt>
                <c:pt idx="1">
                  <c:v>Caro</c:v>
                </c:pt>
                <c:pt idx="2">
                  <c:v>Médio</c:v>
                </c:pt>
              </c:strCache>
            </c:strRef>
          </c:cat>
          <c:val>
            <c:numRef>
              <c:f>'Tabela Dinâmica'!$I$11:$I$14</c:f>
              <c:numCache>
                <c:formatCode>#,##0</c:formatCode>
                <c:ptCount val="3"/>
                <c:pt idx="0">
                  <c:v>32</c:v>
                </c:pt>
                <c:pt idx="1">
                  <c:v>20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45-43DB-B802-1534B672E1D5}"/>
            </c:ext>
          </c:extLst>
        </c:ser>
        <c:ser>
          <c:idx val="1"/>
          <c:order val="1"/>
          <c:tx>
            <c:strRef>
              <c:f>'Tabela Dinâmica'!$J$10</c:f>
              <c:strCache>
                <c:ptCount val="1"/>
                <c:pt idx="0">
                  <c:v>Frequência Relativa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845-43DB-B802-1534B672E1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845-43DB-B802-1534B672E1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845-43DB-B802-1534B672E1D5}"/>
              </c:ext>
            </c:extLst>
          </c:dPt>
          <c:cat>
            <c:strRef>
              <c:f>'Tabela Dinâmica'!$H$11:$H$14</c:f>
              <c:strCache>
                <c:ptCount val="3"/>
                <c:pt idx="0">
                  <c:v>Barato</c:v>
                </c:pt>
                <c:pt idx="1">
                  <c:v>Caro</c:v>
                </c:pt>
                <c:pt idx="2">
                  <c:v>Médio</c:v>
                </c:pt>
              </c:strCache>
            </c:strRef>
          </c:cat>
          <c:val>
            <c:numRef>
              <c:f>'Tabela Dinâmica'!$J$11:$J$14</c:f>
              <c:numCache>
                <c:formatCode>0.00%</c:formatCode>
                <c:ptCount val="3"/>
                <c:pt idx="0">
                  <c:v>0.5161290322580645</c:v>
                </c:pt>
                <c:pt idx="1">
                  <c:v>0.32258064516129031</c:v>
                </c:pt>
                <c:pt idx="2">
                  <c:v>0.16129032258064516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845-43DB-B802-1534B672E1D5}"/>
            </c:ext>
          </c:extLst>
        </c:ser>
        <c:ser>
          <c:idx val="2"/>
          <c:order val="2"/>
          <c:tx>
            <c:strRef>
              <c:f>'Tabela Dinâmica'!$K$10</c:f>
              <c:strCache>
                <c:ptCount val="1"/>
                <c:pt idx="0">
                  <c:v>Frequência Absoluta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845-43DB-B802-1534B672E1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845-43DB-B802-1534B672E1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845-43DB-B802-1534B672E1D5}"/>
              </c:ext>
            </c:extLst>
          </c:dPt>
          <c:cat>
            <c:strRef>
              <c:f>'Tabela Dinâmica'!$H$11:$H$14</c:f>
              <c:strCache>
                <c:ptCount val="3"/>
                <c:pt idx="0">
                  <c:v>Barato</c:v>
                </c:pt>
                <c:pt idx="1">
                  <c:v>Caro</c:v>
                </c:pt>
                <c:pt idx="2">
                  <c:v>Médio</c:v>
                </c:pt>
              </c:strCache>
            </c:strRef>
          </c:cat>
          <c:val>
            <c:numRef>
              <c:f>'Tabela Dinâmica'!$K$11:$K$14</c:f>
              <c:numCache>
                <c:formatCode>0.00%</c:formatCode>
                <c:ptCount val="3"/>
                <c:pt idx="0">
                  <c:v>0.5161290322580645</c:v>
                </c:pt>
                <c:pt idx="1">
                  <c:v>0.83870967741935487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845-43DB-B802-1534B672E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298F8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 sz="1400">
                <a:solidFill>
                  <a:schemeClr val="bg1"/>
                </a:solidFill>
              </a:rPr>
              <a:t>Total de produtos por Categoria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>
            <a:gsLst>
              <a:gs pos="0">
                <a:schemeClr val="accent6"/>
              </a:gs>
              <a:gs pos="100000">
                <a:schemeClr val="accent6">
                  <a:lumMod val="84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</c:pivotFmt>
      <c:pivotFmt>
        <c:idx val="1"/>
        <c:spPr>
          <a:gradFill>
            <a:gsLst>
              <a:gs pos="0">
                <a:schemeClr val="accent6"/>
              </a:gs>
              <a:gs pos="100000">
                <a:schemeClr val="accent6">
                  <a:lumMod val="84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Barato</c:v>
              </c:pt>
              <c:pt idx="1">
                <c:v>Caro</c:v>
              </c:pt>
              <c:pt idx="2">
                <c:v>Médio</c:v>
              </c:pt>
            </c:strLit>
          </c:cat>
          <c:val>
            <c:numLit>
              <c:formatCode>General</c:formatCode>
              <c:ptCount val="3"/>
              <c:pt idx="0">
                <c:v>32</c:v>
              </c:pt>
              <c:pt idx="1">
                <c:v>20</c:v>
              </c:pt>
              <c:pt idx="2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3CF3-42A9-B3DE-2C63E9C32EF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73563664"/>
        <c:axId val="1773567408"/>
      </c:barChart>
      <c:catAx>
        <c:axId val="177356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3567408"/>
        <c:crosses val="autoZero"/>
        <c:auto val="1"/>
        <c:lblAlgn val="ctr"/>
        <c:lblOffset val="100"/>
        <c:noMultiLvlLbl val="0"/>
      </c:catAx>
      <c:valAx>
        <c:axId val="1773567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7356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298F8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_xlchart.13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>
                <a:solidFill>
                  <a:schemeClr val="bg1"/>
                </a:solidFill>
              </a:defRPr>
            </a:pPr>
            <a:r>
              <a:rPr lang="pt-BR">
                <a:solidFill>
                  <a:schemeClr val="bg1"/>
                </a:solidFill>
              </a:rPr>
              <a:t>Distribuição de preç</a:t>
            </a:r>
            <a:r>
              <a:rPr lang="pt-BR">
                <a:solidFill>
                  <a:schemeClr val="bg1"/>
                </a:solidFill>
              </a:rPr>
              <a:t>os</a:t>
            </a:r>
            <a:endParaRPr lang="pt-BR">
              <a:solidFill>
                <a:schemeClr val="bg1"/>
              </a:solidFill>
            </a:endParaRPr>
          </a:p>
        </cx:rich>
      </cx:tx>
    </cx:title>
    <cx:plotArea>
      <cx:plotAreaRegion>
        <cx:series layoutId="boxWhisker" uniqueId="{F7CAC0B5-FD79-4DD8-8761-B72E77A2BE0B}">
          <cx:tx>
            <cx:txData>
              <cx:f>_xlchart.12</cx:f>
              <cx:v>Preco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rot="-60000000" spcFirstLastPara="1" vertOverflow="ellipsis" vert="horz" wrap="square" lIns="0" tIns="0" rIns="0" bIns="0" anchor="ctr" anchorCtr="1"/>
          <a:lstStyle/>
          <a:p>
            <a:pPr>
              <a:defRPr>
                <a:solidFill>
                  <a:schemeClr val="bg1"/>
                </a:solidFill>
              </a:defRPr>
            </a:pPr>
            <a:endParaRPr lang="pt-BR">
              <a:solidFill>
                <a:schemeClr val="bg1"/>
              </a:solidFill>
            </a:endParaRPr>
          </a:p>
        </cx:txPr>
      </cx:axis>
      <cx:axis id="1">
        <cx:valScaling max="16000" min="0"/>
        <cx:majorGridlines/>
        <cx:tickLabels/>
        <cx:txPr>
          <a:bodyPr rot="-60000000" spcFirstLastPara="1" vertOverflow="ellipsis" vert="horz" wrap="square" lIns="0" tIns="0" rIns="0" bIns="0" anchor="ctr" anchorCtr="1"/>
          <a:lstStyle/>
          <a:p>
            <a:pPr>
              <a:defRPr>
                <a:solidFill>
                  <a:schemeClr val="bg1"/>
                </a:solidFill>
              </a:defRPr>
            </a:pPr>
            <a:endParaRPr lang="pt-BR">
              <a:solidFill>
                <a:schemeClr val="bg1"/>
              </a:solidFill>
            </a:endParaRPr>
          </a:p>
        </cx:txPr>
      </cx:axis>
    </cx:plotArea>
  </cx:chart>
  <cx:spPr>
    <a:solidFill>
      <a:srgbClr val="298F88"/>
    </a:solidFill>
    <a:ln>
      <a:solidFill>
        <a:srgbClr val="298F88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650875</xdr:colOff>
      <xdr:row>14</xdr:row>
      <xdr:rowOff>177800</xdr:rowOff>
    </xdr:from>
    <xdr:to>
      <xdr:col>10</xdr:col>
      <xdr:colOff>765175</xdr:colOff>
      <xdr:row>29</xdr:row>
      <xdr:rowOff>158750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575735</xdr:colOff>
      <xdr:row>3</xdr:row>
      <xdr:rowOff>160463</xdr:rowOff>
    </xdr:from>
    <xdr:to>
      <xdr:col>14</xdr:col>
      <xdr:colOff>313267</xdr:colOff>
      <xdr:row>14</xdr:row>
      <xdr:rowOff>59266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586895</xdr:colOff>
      <xdr:row>13</xdr:row>
      <xdr:rowOff>119994</xdr:rowOff>
    </xdr:from>
    <xdr:to>
      <xdr:col>8</xdr:col>
      <xdr:colOff>198839</xdr:colOff>
      <xdr:row>25</xdr:row>
      <xdr:rowOff>146805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135467</xdr:colOff>
      <xdr:row>13</xdr:row>
      <xdr:rowOff>169333</xdr:rowOff>
    </xdr:from>
    <xdr:to>
      <xdr:col>14</xdr:col>
      <xdr:colOff>84666</xdr:colOff>
      <xdr:row>25</xdr:row>
      <xdr:rowOff>152401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5" name="Gráfico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44.59717627315" createdVersion="6" refreshedVersion="6" minRefreshableVersion="3" recordCount="62">
  <cacheSource type="worksheet">
    <worksheetSource ref="B2:E64" sheet="Dados tratados"/>
  </cacheSource>
  <cacheFields count="4">
    <cacheField name="ID" numFmtId="0">
      <sharedItems containsSemiMixedTypes="0" containsString="0" containsNumber="1" containsInteger="1" minValue="1" maxValue="73"/>
    </cacheField>
    <cacheField name="Descricao" numFmtId="0">
      <sharedItems count="62">
        <s v="NOTEBOOK I7"/>
        <s v="MOUSE"/>
        <s v="MOUSE PAD"/>
        <s v="PC GAMER"/>
        <s v="CONTROLE PS5"/>
        <s v="TECLADO"/>
        <s v="MONITOR 19"/>
        <s v="MONITOR 24"/>
        <s v="NOTEBOOK BÁSICO"/>
        <s v="NOTEBOOK GAMER"/>
        <s v="CADEIRA SIMPLES"/>
        <s v="CADEIRA GAMER"/>
        <s v="MESA ESCRITÓRIO"/>
        <s v="HEADSET"/>
        <s v="CAIXA DE SOM"/>
        <s v="WEBCAM"/>
        <s v="HD EXTERNO"/>
        <s v="SSD 500GB"/>
        <s v="SSD 1TB"/>
        <s v="PEN DRIVE 32GB"/>
        <s v="IMPRESSORA"/>
        <s v="ROTEADOR"/>
        <s v="SWITCH DE REDE"/>
        <s v="SERVIDOR BÁSICO"/>
        <s v="SERVIDOR AVANÇADO"/>
        <s v="TABLET"/>
        <s v="SMARTPHONE BÁSICO"/>
        <s v="SMARTPHONE PREMIUM"/>
        <s v="SMART TV 32"/>
        <s v="SMART TV 50"/>
        <s v="PEN DRIVE 16GB"/>
        <s v="CARREGADOR DE NOTEBOOK"/>
        <s v="FONE DE OUVIDO BLUETOOTH"/>
        <s v="APPLE WATCH"/>
        <s v="PLAYSTATION 5 - 2 CONTROLES"/>
        <s v="PEN DRIVE - 50 JOGOS"/>
        <s v="MOUSE GAMER RGB"/>
        <s v="TECLADO SEM FIO"/>
        <s v="MONITOR ULTRAWIDE 29"/>
        <s v="MONITOR 27 144HZ"/>
        <s v="NOTEBOOK INTERMEDIÁRIO"/>
        <s v="NOTEBOOK ULTRAFINO"/>
        <s v="HEADSET PROFISSIONAL"/>
        <s v="FONE BLUETOOTH"/>
        <s v="CAIXA DE SOM JBL"/>
        <s v="WEBCAM FULL HD PRO"/>
        <s v="HD EXTERNO 1TB"/>
        <s v="HD EXTERNO 4TB"/>
        <s v="SSD 240GB"/>
        <s v="SSD NVME 1TB"/>
        <s v="PEN DRIVE 64GB"/>
        <s v="PEN DRIVE 128GB"/>
        <s v="IMPRESSORA MULTIFUNCIONAL"/>
        <s v="ROTEADOR WI-FI 6"/>
        <s v="SWITCH 24 PORTAS"/>
        <s v="SERVIDOR RACK"/>
        <s v="TABLET AVANÇADO"/>
        <s v="SMARTPHONE INTERMEDIÁRIO"/>
        <s v="SMARTPHONE TOP DE LINHA"/>
        <s v="SMART TV 65"/>
        <s v="SMART TV 75"/>
        <s v="CONTROLE ROXO PS5"/>
      </sharedItems>
    </cacheField>
    <cacheField name="Preco" numFmtId="44">
      <sharedItems containsSemiMixedTypes="0" containsString="0" containsNumber="1" minValue="15" maxValue="15000"/>
    </cacheField>
    <cacheField name="Categoria" numFmtId="0">
      <sharedItems count="3">
        <s v="Caro"/>
        <s v="Barato"/>
        <s v="Méd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2">
  <r>
    <n v="1"/>
    <x v="0"/>
    <n v="2850"/>
    <x v="0"/>
  </r>
  <r>
    <n v="3"/>
    <x v="1"/>
    <n v="29.9"/>
    <x v="1"/>
  </r>
  <r>
    <n v="4"/>
    <x v="2"/>
    <n v="15"/>
    <x v="1"/>
  </r>
  <r>
    <n v="6"/>
    <x v="3"/>
    <n v="5300"/>
    <x v="0"/>
  </r>
  <r>
    <n v="8"/>
    <x v="4"/>
    <n v="500"/>
    <x v="1"/>
  </r>
  <r>
    <n v="9"/>
    <x v="5"/>
    <n v="80"/>
    <x v="1"/>
  </r>
  <r>
    <n v="10"/>
    <x v="6"/>
    <n v="550"/>
    <x v="1"/>
  </r>
  <r>
    <n v="11"/>
    <x v="7"/>
    <n v="800"/>
    <x v="2"/>
  </r>
  <r>
    <n v="12"/>
    <x v="8"/>
    <n v="2200"/>
    <x v="0"/>
  </r>
  <r>
    <n v="13"/>
    <x v="9"/>
    <n v="4500"/>
    <x v="0"/>
  </r>
  <r>
    <n v="14"/>
    <x v="10"/>
    <n v="300"/>
    <x v="1"/>
  </r>
  <r>
    <n v="15"/>
    <x v="11"/>
    <n v="1200"/>
    <x v="2"/>
  </r>
  <r>
    <n v="16"/>
    <x v="12"/>
    <n v="700"/>
    <x v="2"/>
  </r>
  <r>
    <n v="17"/>
    <x v="13"/>
    <n v="150"/>
    <x v="1"/>
  </r>
  <r>
    <n v="18"/>
    <x v="14"/>
    <n v="200"/>
    <x v="1"/>
  </r>
  <r>
    <n v="19"/>
    <x v="15"/>
    <n v="130"/>
    <x v="1"/>
  </r>
  <r>
    <n v="20"/>
    <x v="16"/>
    <n v="400"/>
    <x v="1"/>
  </r>
  <r>
    <n v="21"/>
    <x v="17"/>
    <n v="350"/>
    <x v="1"/>
  </r>
  <r>
    <n v="22"/>
    <x v="18"/>
    <n v="600"/>
    <x v="1"/>
  </r>
  <r>
    <n v="23"/>
    <x v="19"/>
    <n v="50"/>
    <x v="1"/>
  </r>
  <r>
    <n v="24"/>
    <x v="20"/>
    <n v="500"/>
    <x v="1"/>
  </r>
  <r>
    <n v="25"/>
    <x v="21"/>
    <n v="250"/>
    <x v="1"/>
  </r>
  <r>
    <n v="26"/>
    <x v="22"/>
    <n v="300"/>
    <x v="1"/>
  </r>
  <r>
    <n v="27"/>
    <x v="23"/>
    <n v="6000"/>
    <x v="0"/>
  </r>
  <r>
    <n v="28"/>
    <x v="24"/>
    <n v="12000"/>
    <x v="0"/>
  </r>
  <r>
    <n v="29"/>
    <x v="25"/>
    <n v="900"/>
    <x v="2"/>
  </r>
  <r>
    <n v="30"/>
    <x v="26"/>
    <n v="1000"/>
    <x v="2"/>
  </r>
  <r>
    <n v="31"/>
    <x v="27"/>
    <n v="3500"/>
    <x v="0"/>
  </r>
  <r>
    <n v="32"/>
    <x v="28"/>
    <n v="1200"/>
    <x v="2"/>
  </r>
  <r>
    <n v="33"/>
    <x v="29"/>
    <n v="2800"/>
    <x v="0"/>
  </r>
  <r>
    <n v="38"/>
    <x v="30"/>
    <n v="35"/>
    <x v="1"/>
  </r>
  <r>
    <n v="39"/>
    <x v="31"/>
    <n v="70"/>
    <x v="1"/>
  </r>
  <r>
    <n v="40"/>
    <x v="32"/>
    <n v="55"/>
    <x v="1"/>
  </r>
  <r>
    <n v="41"/>
    <x v="33"/>
    <n v="2049.9"/>
    <x v="0"/>
  </r>
  <r>
    <n v="42"/>
    <x v="34"/>
    <n v="3899.9"/>
    <x v="0"/>
  </r>
  <r>
    <n v="43"/>
    <x v="35"/>
    <n v="130"/>
    <x v="1"/>
  </r>
  <r>
    <n v="44"/>
    <x v="36"/>
    <n v="150"/>
    <x v="1"/>
  </r>
  <r>
    <n v="45"/>
    <x v="37"/>
    <n v="180"/>
    <x v="1"/>
  </r>
  <r>
    <n v="46"/>
    <x v="38"/>
    <n v="1600"/>
    <x v="0"/>
  </r>
  <r>
    <n v="47"/>
    <x v="39"/>
    <n v="2100"/>
    <x v="0"/>
  </r>
  <r>
    <n v="48"/>
    <x v="40"/>
    <n v="3200"/>
    <x v="0"/>
  </r>
  <r>
    <n v="49"/>
    <x v="41"/>
    <n v="4000"/>
    <x v="0"/>
  </r>
  <r>
    <n v="50"/>
    <x v="42"/>
    <n v="350"/>
    <x v="1"/>
  </r>
  <r>
    <n v="51"/>
    <x v="43"/>
    <n v="220"/>
    <x v="1"/>
  </r>
  <r>
    <n v="52"/>
    <x v="44"/>
    <n v="450"/>
    <x v="1"/>
  </r>
  <r>
    <n v="53"/>
    <x v="45"/>
    <n v="280"/>
    <x v="1"/>
  </r>
  <r>
    <n v="54"/>
    <x v="46"/>
    <n v="350"/>
    <x v="1"/>
  </r>
  <r>
    <n v="55"/>
    <x v="47"/>
    <n v="750"/>
    <x v="2"/>
  </r>
  <r>
    <n v="56"/>
    <x v="48"/>
    <n v="200"/>
    <x v="1"/>
  </r>
  <r>
    <n v="57"/>
    <x v="49"/>
    <n v="900"/>
    <x v="2"/>
  </r>
  <r>
    <n v="58"/>
    <x v="50"/>
    <n v="60"/>
    <x v="1"/>
  </r>
  <r>
    <n v="59"/>
    <x v="51"/>
    <n v="90"/>
    <x v="1"/>
  </r>
  <r>
    <n v="60"/>
    <x v="52"/>
    <n v="800"/>
    <x v="2"/>
  </r>
  <r>
    <n v="61"/>
    <x v="53"/>
    <n v="600"/>
    <x v="1"/>
  </r>
  <r>
    <n v="62"/>
    <x v="54"/>
    <n v="900"/>
    <x v="2"/>
  </r>
  <r>
    <n v="63"/>
    <x v="55"/>
    <n v="15000"/>
    <x v="0"/>
  </r>
  <r>
    <n v="64"/>
    <x v="56"/>
    <n v="1800"/>
    <x v="0"/>
  </r>
  <r>
    <n v="65"/>
    <x v="57"/>
    <n v="1800"/>
    <x v="0"/>
  </r>
  <r>
    <n v="66"/>
    <x v="58"/>
    <n v="5000"/>
    <x v="0"/>
  </r>
  <r>
    <n v="67"/>
    <x v="59"/>
    <n v="4000"/>
    <x v="0"/>
  </r>
  <r>
    <n v="68"/>
    <x v="60"/>
    <n v="6500"/>
    <x v="0"/>
  </r>
  <r>
    <n v="73"/>
    <x v="61"/>
    <n v="45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5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5" rowHeaderCaption="Categoria produto">
  <location ref="H10:K14" firstHeaderRow="0" firstDataRow="1" firstDataCol="1"/>
  <pivotFields count="4">
    <pivotField showAll="0"/>
    <pivotField showAll="0">
      <items count="63">
        <item x="33"/>
        <item x="11"/>
        <item x="10"/>
        <item x="14"/>
        <item x="44"/>
        <item x="31"/>
        <item x="4"/>
        <item x="61"/>
        <item x="43"/>
        <item x="32"/>
        <item x="16"/>
        <item x="46"/>
        <item x="47"/>
        <item x="13"/>
        <item x="42"/>
        <item x="20"/>
        <item x="52"/>
        <item x="12"/>
        <item x="6"/>
        <item x="7"/>
        <item x="39"/>
        <item x="38"/>
        <item x="1"/>
        <item x="36"/>
        <item x="2"/>
        <item x="8"/>
        <item x="9"/>
        <item x="0"/>
        <item x="40"/>
        <item x="41"/>
        <item x="3"/>
        <item x="35"/>
        <item x="51"/>
        <item x="30"/>
        <item x="19"/>
        <item x="50"/>
        <item x="34"/>
        <item x="21"/>
        <item x="53"/>
        <item x="24"/>
        <item x="23"/>
        <item x="55"/>
        <item x="28"/>
        <item x="29"/>
        <item x="59"/>
        <item x="60"/>
        <item x="26"/>
        <item x="57"/>
        <item x="27"/>
        <item x="58"/>
        <item x="18"/>
        <item x="48"/>
        <item x="17"/>
        <item x="49"/>
        <item x="54"/>
        <item x="22"/>
        <item x="25"/>
        <item x="56"/>
        <item x="5"/>
        <item x="37"/>
        <item x="15"/>
        <item x="45"/>
        <item t="default"/>
      </items>
    </pivotField>
    <pivotField dataField="1" numFmtId="44" showAll="0"/>
    <pivotField axis="axisRow" showAll="0">
      <items count="4">
        <item x="1"/>
        <item x="0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de produtos por Categoria" fld="2" subtotal="count" baseField="0" baseItem="0" numFmtId="3"/>
    <dataField name="Frequência Relativa" fld="2" subtotal="count" showDataAs="percentOfTotal" baseField="0" baseItem="0" numFmtId="10"/>
    <dataField name="Frequência Absoluta" fld="2" subtotal="count" baseField="3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4">
    <format dxfId="1">
      <pivotArea outline="0" fieldPosition="0">
        <references count="1">
          <reference field="4294967294" count="1">
            <x v="0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 rowHeaderCaption="Produtos">
  <location ref="B10:E73" firstHeaderRow="0" firstDataRow="1" firstDataCol="1"/>
  <pivotFields count="4">
    <pivotField showAll="0"/>
    <pivotField axis="axisRow" showAll="0" sortType="descending">
      <items count="63">
        <item x="33"/>
        <item x="11"/>
        <item x="10"/>
        <item x="14"/>
        <item x="44"/>
        <item x="31"/>
        <item x="4"/>
        <item x="61"/>
        <item x="43"/>
        <item x="32"/>
        <item x="16"/>
        <item x="46"/>
        <item x="47"/>
        <item x="13"/>
        <item x="42"/>
        <item x="20"/>
        <item x="52"/>
        <item x="12"/>
        <item x="6"/>
        <item x="7"/>
        <item x="39"/>
        <item x="38"/>
        <item x="1"/>
        <item x="36"/>
        <item x="2"/>
        <item x="8"/>
        <item x="9"/>
        <item x="0"/>
        <item x="40"/>
        <item x="41"/>
        <item x="3"/>
        <item x="35"/>
        <item x="51"/>
        <item x="30"/>
        <item x="19"/>
        <item x="50"/>
        <item x="34"/>
        <item x="21"/>
        <item x="53"/>
        <item x="24"/>
        <item x="23"/>
        <item x="55"/>
        <item x="28"/>
        <item x="29"/>
        <item x="59"/>
        <item x="60"/>
        <item x="26"/>
        <item x="57"/>
        <item x="27"/>
        <item x="58"/>
        <item x="18"/>
        <item x="48"/>
        <item x="17"/>
        <item x="49"/>
        <item x="54"/>
        <item x="22"/>
        <item x="25"/>
        <item x="56"/>
        <item x="5"/>
        <item x="37"/>
        <item x="15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showAll="0"/>
  </pivotFields>
  <rowFields count="1">
    <field x="1"/>
  </rowFields>
  <rowItems count="63">
    <i>
      <x v="41"/>
    </i>
    <i>
      <x v="39"/>
    </i>
    <i>
      <x v="45"/>
    </i>
    <i>
      <x v="40"/>
    </i>
    <i>
      <x v="30"/>
    </i>
    <i>
      <x v="49"/>
    </i>
    <i>
      <x v="26"/>
    </i>
    <i>
      <x v="44"/>
    </i>
    <i>
      <x v="29"/>
    </i>
    <i>
      <x v="36"/>
    </i>
    <i>
      <x v="48"/>
    </i>
    <i>
      <x v="28"/>
    </i>
    <i>
      <x v="27"/>
    </i>
    <i>
      <x v="43"/>
    </i>
    <i>
      <x v="25"/>
    </i>
    <i>
      <x v="20"/>
    </i>
    <i>
      <x/>
    </i>
    <i>
      <x v="47"/>
    </i>
    <i>
      <x v="57"/>
    </i>
    <i>
      <x v="21"/>
    </i>
    <i>
      <x v="42"/>
    </i>
    <i>
      <x v="1"/>
    </i>
    <i>
      <x v="46"/>
    </i>
    <i>
      <x v="53"/>
    </i>
    <i>
      <x v="56"/>
    </i>
    <i>
      <x v="54"/>
    </i>
    <i>
      <x v="19"/>
    </i>
    <i>
      <x v="16"/>
    </i>
    <i>
      <x v="12"/>
    </i>
    <i>
      <x v="17"/>
    </i>
    <i>
      <x v="50"/>
    </i>
    <i>
      <x v="38"/>
    </i>
    <i>
      <x v="18"/>
    </i>
    <i>
      <x v="6"/>
    </i>
    <i>
      <x v="15"/>
    </i>
    <i>
      <x v="7"/>
    </i>
    <i>
      <x v="4"/>
    </i>
    <i>
      <x v="10"/>
    </i>
    <i>
      <x v="52"/>
    </i>
    <i>
      <x v="11"/>
    </i>
    <i>
      <x v="14"/>
    </i>
    <i>
      <x v="55"/>
    </i>
    <i>
      <x v="2"/>
    </i>
    <i>
      <x v="61"/>
    </i>
    <i>
      <x v="37"/>
    </i>
    <i>
      <x v="8"/>
    </i>
    <i>
      <x v="51"/>
    </i>
    <i>
      <x v="3"/>
    </i>
    <i>
      <x v="59"/>
    </i>
    <i>
      <x v="13"/>
    </i>
    <i>
      <x v="23"/>
    </i>
    <i>
      <x v="60"/>
    </i>
    <i>
      <x v="31"/>
    </i>
    <i>
      <x v="32"/>
    </i>
    <i>
      <x v="58"/>
    </i>
    <i>
      <x v="5"/>
    </i>
    <i>
      <x v="35"/>
    </i>
    <i>
      <x v="9"/>
    </i>
    <i>
      <x v="34"/>
    </i>
    <i>
      <x v="33"/>
    </i>
    <i>
      <x v="22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uência Absoluta" fld="2" baseField="0" baseItem="0" numFmtId="164"/>
    <dataField name="Frequência Relativa" fld="2" showDataAs="percentOfTotal" baseField="0" baseItem="0" numFmtId="10"/>
    <dataField name="Frequência Acumulada" fld="2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4">
    <format dxfId="7">
      <pivotArea collapsedLevelsAreSubtotals="1" fieldPosition="0">
        <references count="1">
          <reference field="1" count="1">
            <x v="0"/>
          </reference>
        </references>
      </pivotArea>
    </format>
    <format dxfId="6">
      <pivotArea outline="0" fieldPosition="0">
        <references count="1">
          <reference field="4294967294" count="1">
            <x v="0"/>
          </reference>
        </references>
      </pivotArea>
    </format>
    <format dxfId="5">
      <pivotArea outline="0" fieldPosition="0">
        <references count="1">
          <reference field="4294967294" count="1">
            <x v="1"/>
          </reference>
        </references>
      </pivotArea>
    </format>
    <format dxfId="4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produtos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produtos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64"/>
  <sheetViews>
    <sheetView workbookViewId="0"/>
  </sheetViews>
  <sheetFormatPr defaultRowHeight="14.5" x14ac:dyDescent="0.35"/>
  <cols>
    <col min="2" max="2" width="27.7265625" customWidth="1"/>
  </cols>
  <sheetData>
    <row r="2" spans="2:2" x14ac:dyDescent="0.35">
      <c r="B2" t="s">
        <v>6</v>
      </c>
    </row>
    <row r="3" spans="2:2" x14ac:dyDescent="0.35">
      <c r="B3" t="s">
        <v>7</v>
      </c>
    </row>
    <row r="4" spans="2:2" x14ac:dyDescent="0.35">
      <c r="B4" t="s">
        <v>8</v>
      </c>
    </row>
    <row r="5" spans="2:2" x14ac:dyDescent="0.35">
      <c r="B5" t="s">
        <v>9</v>
      </c>
    </row>
    <row r="6" spans="2:2" x14ac:dyDescent="0.35">
      <c r="B6" t="s">
        <v>10</v>
      </c>
    </row>
    <row r="7" spans="2:2" x14ac:dyDescent="0.35">
      <c r="B7" t="s">
        <v>11</v>
      </c>
    </row>
    <row r="8" spans="2:2" x14ac:dyDescent="0.35">
      <c r="B8" t="s">
        <v>12</v>
      </c>
    </row>
    <row r="9" spans="2:2" x14ac:dyDescent="0.35">
      <c r="B9" t="s">
        <v>13</v>
      </c>
    </row>
    <row r="10" spans="2:2" x14ac:dyDescent="0.35">
      <c r="B10" t="s">
        <v>14</v>
      </c>
    </row>
    <row r="11" spans="2:2" x14ac:dyDescent="0.35">
      <c r="B11" t="s">
        <v>61</v>
      </c>
    </row>
    <row r="12" spans="2:2" x14ac:dyDescent="0.35">
      <c r="B12" t="s">
        <v>15</v>
      </c>
    </row>
    <row r="13" spans="2:2" x14ac:dyDescent="0.35">
      <c r="B13" t="s">
        <v>16</v>
      </c>
    </row>
    <row r="14" spans="2:2" x14ac:dyDescent="0.35">
      <c r="B14" t="s">
        <v>17</v>
      </c>
    </row>
    <row r="15" spans="2:2" x14ac:dyDescent="0.35">
      <c r="B15" t="s">
        <v>62</v>
      </c>
    </row>
    <row r="16" spans="2:2" x14ac:dyDescent="0.35">
      <c r="B16" t="s">
        <v>18</v>
      </c>
    </row>
    <row r="17" spans="2:2" x14ac:dyDescent="0.35">
      <c r="B17" t="s">
        <v>19</v>
      </c>
    </row>
    <row r="18" spans="2:2" x14ac:dyDescent="0.35">
      <c r="B18" t="s">
        <v>20</v>
      </c>
    </row>
    <row r="19" spans="2:2" x14ac:dyDescent="0.35">
      <c r="B19" t="s">
        <v>21</v>
      </c>
    </row>
    <row r="20" spans="2:2" x14ac:dyDescent="0.35">
      <c r="B20" t="s">
        <v>22</v>
      </c>
    </row>
    <row r="21" spans="2:2" x14ac:dyDescent="0.35">
      <c r="B21" t="s">
        <v>23</v>
      </c>
    </row>
    <row r="22" spans="2:2" x14ac:dyDescent="0.35">
      <c r="B22" t="s">
        <v>24</v>
      </c>
    </row>
    <row r="23" spans="2:2" x14ac:dyDescent="0.35">
      <c r="B23" t="s">
        <v>25</v>
      </c>
    </row>
    <row r="24" spans="2:2" x14ac:dyDescent="0.35">
      <c r="B24" t="s">
        <v>26</v>
      </c>
    </row>
    <row r="25" spans="2:2" x14ac:dyDescent="0.35">
      <c r="B25" t="s">
        <v>27</v>
      </c>
    </row>
    <row r="26" spans="2:2" x14ac:dyDescent="0.35">
      <c r="B26" t="s">
        <v>63</v>
      </c>
    </row>
    <row r="27" spans="2:2" x14ac:dyDescent="0.35">
      <c r="B27" t="s">
        <v>64</v>
      </c>
    </row>
    <row r="28" spans="2:2" x14ac:dyDescent="0.35">
      <c r="B28" t="s">
        <v>28</v>
      </c>
    </row>
    <row r="29" spans="2:2" x14ac:dyDescent="0.35">
      <c r="B29" t="s">
        <v>65</v>
      </c>
    </row>
    <row r="30" spans="2:2" x14ac:dyDescent="0.35">
      <c r="B30" t="s">
        <v>29</v>
      </c>
    </row>
    <row r="31" spans="2:2" x14ac:dyDescent="0.35">
      <c r="B31" t="s">
        <v>30</v>
      </c>
    </row>
    <row r="32" spans="2:2" x14ac:dyDescent="0.35">
      <c r="B32" t="s">
        <v>31</v>
      </c>
    </row>
    <row r="33" spans="2:2" x14ac:dyDescent="0.35">
      <c r="B33" t="s">
        <v>32</v>
      </c>
    </row>
    <row r="34" spans="2:2" x14ac:dyDescent="0.35">
      <c r="B34" t="s">
        <v>33</v>
      </c>
    </row>
    <row r="35" spans="2:2" x14ac:dyDescent="0.35">
      <c r="B35" t="s">
        <v>34</v>
      </c>
    </row>
    <row r="36" spans="2:2" x14ac:dyDescent="0.35">
      <c r="B36" t="s">
        <v>35</v>
      </c>
    </row>
    <row r="37" spans="2:2" x14ac:dyDescent="0.35">
      <c r="B37" t="s">
        <v>36</v>
      </c>
    </row>
    <row r="38" spans="2:2" x14ac:dyDescent="0.35">
      <c r="B38" t="s">
        <v>37</v>
      </c>
    </row>
    <row r="39" spans="2:2" x14ac:dyDescent="0.35">
      <c r="B39" t="s">
        <v>38</v>
      </c>
    </row>
    <row r="40" spans="2:2" x14ac:dyDescent="0.35">
      <c r="B40" t="s">
        <v>39</v>
      </c>
    </row>
    <row r="41" spans="2:2" x14ac:dyDescent="0.35">
      <c r="B41" t="s">
        <v>40</v>
      </c>
    </row>
    <row r="42" spans="2:2" x14ac:dyDescent="0.35">
      <c r="B42" t="s">
        <v>41</v>
      </c>
    </row>
    <row r="43" spans="2:2" x14ac:dyDescent="0.35">
      <c r="B43" t="s">
        <v>66</v>
      </c>
    </row>
    <row r="44" spans="2:2" x14ac:dyDescent="0.35">
      <c r="B44" t="s">
        <v>42</v>
      </c>
    </row>
    <row r="45" spans="2:2" x14ac:dyDescent="0.35">
      <c r="B45" t="s">
        <v>43</v>
      </c>
    </row>
    <row r="46" spans="2:2" x14ac:dyDescent="0.35">
      <c r="B46" t="s">
        <v>44</v>
      </c>
    </row>
    <row r="47" spans="2:2" x14ac:dyDescent="0.35">
      <c r="B47" t="s">
        <v>45</v>
      </c>
    </row>
    <row r="48" spans="2:2" x14ac:dyDescent="0.35">
      <c r="B48" t="s">
        <v>46</v>
      </c>
    </row>
    <row r="49" spans="2:2" x14ac:dyDescent="0.35">
      <c r="B49" t="s">
        <v>47</v>
      </c>
    </row>
    <row r="50" spans="2:2" x14ac:dyDescent="0.35">
      <c r="B50" t="s">
        <v>48</v>
      </c>
    </row>
    <row r="51" spans="2:2" x14ac:dyDescent="0.35">
      <c r="B51" t="s">
        <v>49</v>
      </c>
    </row>
    <row r="52" spans="2:2" x14ac:dyDescent="0.35">
      <c r="B52" t="s">
        <v>50</v>
      </c>
    </row>
    <row r="53" spans="2:2" x14ac:dyDescent="0.35">
      <c r="B53" t="s">
        <v>51</v>
      </c>
    </row>
    <row r="54" spans="2:2" x14ac:dyDescent="0.35">
      <c r="B54" t="s">
        <v>52</v>
      </c>
    </row>
    <row r="55" spans="2:2" x14ac:dyDescent="0.35">
      <c r="B55" t="s">
        <v>53</v>
      </c>
    </row>
    <row r="56" spans="2:2" x14ac:dyDescent="0.35">
      <c r="B56" t="s">
        <v>54</v>
      </c>
    </row>
    <row r="57" spans="2:2" x14ac:dyDescent="0.35">
      <c r="B57" t="s">
        <v>55</v>
      </c>
    </row>
    <row r="58" spans="2:2" x14ac:dyDescent="0.35">
      <c r="B58" t="s">
        <v>56</v>
      </c>
    </row>
    <row r="59" spans="2:2" x14ac:dyDescent="0.35">
      <c r="B59" t="s">
        <v>67</v>
      </c>
    </row>
    <row r="60" spans="2:2" x14ac:dyDescent="0.35">
      <c r="B60" t="s">
        <v>68</v>
      </c>
    </row>
    <row r="61" spans="2:2" x14ac:dyDescent="0.35">
      <c r="B61" t="s">
        <v>57</v>
      </c>
    </row>
    <row r="62" spans="2:2" x14ac:dyDescent="0.35">
      <c r="B62" t="s">
        <v>58</v>
      </c>
    </row>
    <row r="63" spans="2:2" x14ac:dyDescent="0.35">
      <c r="B63" t="s">
        <v>59</v>
      </c>
    </row>
    <row r="64" spans="2:2" x14ac:dyDescent="0.35">
      <c r="B64" t="s">
        <v>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4"/>
  <sheetViews>
    <sheetView topLeftCell="A47" workbookViewId="0">
      <selection activeCell="I55" sqref="I55"/>
    </sheetView>
  </sheetViews>
  <sheetFormatPr defaultRowHeight="14.5" x14ac:dyDescent="0.35"/>
  <cols>
    <col min="2" max="2" width="10.08984375" customWidth="1"/>
    <col min="3" max="3" width="27.54296875" bestFit="1" customWidth="1"/>
    <col min="4" max="4" width="12.6328125" style="1" bestFit="1" customWidth="1"/>
    <col min="5" max="5" width="11.1796875" customWidth="1"/>
    <col min="8" max="8" width="18.08984375" bestFit="1" customWidth="1"/>
    <col min="9" max="9" width="26.7265625" bestFit="1" customWidth="1"/>
    <col min="10" max="10" width="12.6328125" bestFit="1" customWidth="1"/>
  </cols>
  <sheetData>
    <row r="2" spans="2:10" x14ac:dyDescent="0.35">
      <c r="B2" s="3" t="s">
        <v>0</v>
      </c>
      <c r="C2" s="3" t="s">
        <v>1</v>
      </c>
      <c r="D2" s="4" t="s">
        <v>2</v>
      </c>
      <c r="E2" s="3" t="s">
        <v>133</v>
      </c>
    </row>
    <row r="3" spans="2:10" x14ac:dyDescent="0.35">
      <c r="B3" s="7">
        <v>1</v>
      </c>
      <c r="C3" s="5" t="s">
        <v>69</v>
      </c>
      <c r="D3" s="6">
        <v>2850</v>
      </c>
      <c r="E3" s="7" t="str">
        <f>IF(D3&lt;700,"Barato",IF(AND(D3&gt;=D3,D3&lt;1500),"Médio","Caro"))</f>
        <v>Caro</v>
      </c>
      <c r="J3" s="2"/>
    </row>
    <row r="4" spans="2:10" x14ac:dyDescent="0.35">
      <c r="B4" s="7">
        <v>3</v>
      </c>
      <c r="C4" s="5" t="s">
        <v>70</v>
      </c>
      <c r="D4" s="6">
        <v>29.9</v>
      </c>
      <c r="E4" s="7" t="str">
        <f t="shared" ref="E4:E64" si="0">IF(D4&lt;700,"Barato",IF(AND(D4&gt;=D4,D4&lt;1500),"Médio","Caro"))</f>
        <v>Barato</v>
      </c>
    </row>
    <row r="5" spans="2:10" x14ac:dyDescent="0.35">
      <c r="B5" s="7">
        <v>4</v>
      </c>
      <c r="C5" s="5" t="s">
        <v>71</v>
      </c>
      <c r="D5" s="6">
        <v>15</v>
      </c>
      <c r="E5" s="7" t="str">
        <f t="shared" si="0"/>
        <v>Barato</v>
      </c>
      <c r="J5" s="12"/>
    </row>
    <row r="6" spans="2:10" x14ac:dyDescent="0.35">
      <c r="B6" s="7">
        <v>6</v>
      </c>
      <c r="C6" s="5" t="s">
        <v>72</v>
      </c>
      <c r="D6" s="6">
        <v>5300</v>
      </c>
      <c r="E6" s="7" t="str">
        <f t="shared" si="0"/>
        <v>Caro</v>
      </c>
    </row>
    <row r="7" spans="2:10" x14ac:dyDescent="0.35">
      <c r="B7" s="7">
        <v>8</v>
      </c>
      <c r="C7" s="5" t="s">
        <v>73</v>
      </c>
      <c r="D7" s="6">
        <v>500</v>
      </c>
      <c r="E7" s="7" t="str">
        <f t="shared" si="0"/>
        <v>Barato</v>
      </c>
      <c r="J7" s="12"/>
    </row>
    <row r="8" spans="2:10" x14ac:dyDescent="0.35">
      <c r="B8" s="7">
        <v>9</v>
      </c>
      <c r="C8" s="5" t="s">
        <v>74</v>
      </c>
      <c r="D8" s="6">
        <v>80</v>
      </c>
      <c r="E8" s="7" t="str">
        <f t="shared" si="0"/>
        <v>Barato</v>
      </c>
      <c r="J8" s="12"/>
    </row>
    <row r="9" spans="2:10" x14ac:dyDescent="0.35">
      <c r="B9" s="7">
        <v>10</v>
      </c>
      <c r="C9" s="5" t="s">
        <v>75</v>
      </c>
      <c r="D9" s="6">
        <v>550</v>
      </c>
      <c r="E9" s="7" t="str">
        <f t="shared" si="0"/>
        <v>Barato</v>
      </c>
    </row>
    <row r="10" spans="2:10" x14ac:dyDescent="0.35">
      <c r="B10" s="7">
        <v>11</v>
      </c>
      <c r="C10" s="5" t="s">
        <v>76</v>
      </c>
      <c r="D10" s="6">
        <v>800</v>
      </c>
      <c r="E10" s="7" t="str">
        <f t="shared" si="0"/>
        <v>Médio</v>
      </c>
      <c r="H10" s="12"/>
    </row>
    <row r="11" spans="2:10" x14ac:dyDescent="0.35">
      <c r="B11" s="7">
        <v>12</v>
      </c>
      <c r="C11" s="5" t="s">
        <v>77</v>
      </c>
      <c r="D11" s="6">
        <v>2200</v>
      </c>
      <c r="E11" s="7" t="str">
        <f t="shared" si="0"/>
        <v>Caro</v>
      </c>
    </row>
    <row r="12" spans="2:10" x14ac:dyDescent="0.35">
      <c r="B12" s="7">
        <v>13</v>
      </c>
      <c r="C12" s="5" t="s">
        <v>78</v>
      </c>
      <c r="D12" s="6">
        <v>4500</v>
      </c>
      <c r="E12" s="7" t="str">
        <f t="shared" si="0"/>
        <v>Caro</v>
      </c>
    </row>
    <row r="13" spans="2:10" x14ac:dyDescent="0.35">
      <c r="B13" s="7">
        <v>14</v>
      </c>
      <c r="C13" s="5" t="s">
        <v>79</v>
      </c>
      <c r="D13" s="6">
        <v>300</v>
      </c>
      <c r="E13" s="7" t="str">
        <f t="shared" si="0"/>
        <v>Barato</v>
      </c>
    </row>
    <row r="14" spans="2:10" x14ac:dyDescent="0.35">
      <c r="B14" s="7">
        <v>15</v>
      </c>
      <c r="C14" s="5" t="s">
        <v>80</v>
      </c>
      <c r="D14" s="6">
        <v>1200</v>
      </c>
      <c r="E14" s="7" t="str">
        <f t="shared" si="0"/>
        <v>Médio</v>
      </c>
    </row>
    <row r="15" spans="2:10" x14ac:dyDescent="0.35">
      <c r="B15" s="7">
        <v>16</v>
      </c>
      <c r="C15" s="5" t="s">
        <v>81</v>
      </c>
      <c r="D15" s="6">
        <v>700</v>
      </c>
      <c r="E15" s="7" t="str">
        <f t="shared" si="0"/>
        <v>Médio</v>
      </c>
    </row>
    <row r="16" spans="2:10" x14ac:dyDescent="0.35">
      <c r="B16" s="7">
        <v>17</v>
      </c>
      <c r="C16" s="5" t="s">
        <v>82</v>
      </c>
      <c r="D16" s="6">
        <v>150</v>
      </c>
      <c r="E16" s="7" t="str">
        <f t="shared" si="0"/>
        <v>Barato</v>
      </c>
    </row>
    <row r="17" spans="2:5" x14ac:dyDescent="0.35">
      <c r="B17" s="7">
        <v>18</v>
      </c>
      <c r="C17" s="5" t="s">
        <v>83</v>
      </c>
      <c r="D17" s="6">
        <v>200</v>
      </c>
      <c r="E17" s="7" t="str">
        <f t="shared" si="0"/>
        <v>Barato</v>
      </c>
    </row>
    <row r="18" spans="2:5" x14ac:dyDescent="0.35">
      <c r="B18" s="7">
        <v>19</v>
      </c>
      <c r="C18" s="5" t="s">
        <v>84</v>
      </c>
      <c r="D18" s="6">
        <v>130</v>
      </c>
      <c r="E18" s="7" t="str">
        <f t="shared" si="0"/>
        <v>Barato</v>
      </c>
    </row>
    <row r="19" spans="2:5" x14ac:dyDescent="0.35">
      <c r="B19" s="7">
        <v>20</v>
      </c>
      <c r="C19" s="5" t="s">
        <v>85</v>
      </c>
      <c r="D19" s="6">
        <v>400</v>
      </c>
      <c r="E19" s="7" t="str">
        <f t="shared" si="0"/>
        <v>Barato</v>
      </c>
    </row>
    <row r="20" spans="2:5" x14ac:dyDescent="0.35">
      <c r="B20" s="7">
        <v>21</v>
      </c>
      <c r="C20" s="5" t="s">
        <v>3</v>
      </c>
      <c r="D20" s="6">
        <v>350</v>
      </c>
      <c r="E20" s="7" t="str">
        <f t="shared" si="0"/>
        <v>Barato</v>
      </c>
    </row>
    <row r="21" spans="2:5" x14ac:dyDescent="0.35">
      <c r="B21" s="7">
        <v>22</v>
      </c>
      <c r="C21" s="5" t="s">
        <v>4</v>
      </c>
      <c r="D21" s="6">
        <v>600</v>
      </c>
      <c r="E21" s="7" t="str">
        <f t="shared" si="0"/>
        <v>Barato</v>
      </c>
    </row>
    <row r="22" spans="2:5" x14ac:dyDescent="0.35">
      <c r="B22" s="7">
        <v>23</v>
      </c>
      <c r="C22" s="5" t="s">
        <v>86</v>
      </c>
      <c r="D22" s="6">
        <v>50</v>
      </c>
      <c r="E22" s="7" t="str">
        <f t="shared" si="0"/>
        <v>Barato</v>
      </c>
    </row>
    <row r="23" spans="2:5" x14ac:dyDescent="0.35">
      <c r="B23" s="7">
        <v>24</v>
      </c>
      <c r="C23" s="5" t="s">
        <v>87</v>
      </c>
      <c r="D23" s="6">
        <v>500</v>
      </c>
      <c r="E23" s="7" t="str">
        <f t="shared" si="0"/>
        <v>Barato</v>
      </c>
    </row>
    <row r="24" spans="2:5" x14ac:dyDescent="0.35">
      <c r="B24" s="7">
        <v>25</v>
      </c>
      <c r="C24" s="5" t="s">
        <v>88</v>
      </c>
      <c r="D24" s="6">
        <v>250</v>
      </c>
      <c r="E24" s="7" t="str">
        <f t="shared" si="0"/>
        <v>Barato</v>
      </c>
    </row>
    <row r="25" spans="2:5" x14ac:dyDescent="0.35">
      <c r="B25" s="7">
        <v>26</v>
      </c>
      <c r="C25" s="5" t="s">
        <v>89</v>
      </c>
      <c r="D25" s="6">
        <v>300</v>
      </c>
      <c r="E25" s="7" t="str">
        <f t="shared" si="0"/>
        <v>Barato</v>
      </c>
    </row>
    <row r="26" spans="2:5" x14ac:dyDescent="0.35">
      <c r="B26" s="7">
        <v>27</v>
      </c>
      <c r="C26" s="5" t="s">
        <v>90</v>
      </c>
      <c r="D26" s="6">
        <v>6000</v>
      </c>
      <c r="E26" s="7" t="str">
        <f t="shared" si="0"/>
        <v>Caro</v>
      </c>
    </row>
    <row r="27" spans="2:5" x14ac:dyDescent="0.35">
      <c r="B27" s="7">
        <v>28</v>
      </c>
      <c r="C27" s="5" t="s">
        <v>91</v>
      </c>
      <c r="D27" s="6">
        <v>12000</v>
      </c>
      <c r="E27" s="7" t="str">
        <f t="shared" si="0"/>
        <v>Caro</v>
      </c>
    </row>
    <row r="28" spans="2:5" x14ac:dyDescent="0.35">
      <c r="B28" s="7">
        <v>29</v>
      </c>
      <c r="C28" s="5" t="s">
        <v>92</v>
      </c>
      <c r="D28" s="6">
        <v>900</v>
      </c>
      <c r="E28" s="7" t="str">
        <f t="shared" si="0"/>
        <v>Médio</v>
      </c>
    </row>
    <row r="29" spans="2:5" x14ac:dyDescent="0.35">
      <c r="B29" s="7">
        <v>30</v>
      </c>
      <c r="C29" s="5" t="s">
        <v>93</v>
      </c>
      <c r="D29" s="6">
        <v>1000</v>
      </c>
      <c r="E29" s="7" t="str">
        <f t="shared" si="0"/>
        <v>Médio</v>
      </c>
    </row>
    <row r="30" spans="2:5" x14ac:dyDescent="0.35">
      <c r="B30" s="7">
        <v>31</v>
      </c>
      <c r="C30" s="5" t="s">
        <v>94</v>
      </c>
      <c r="D30" s="6">
        <v>3500</v>
      </c>
      <c r="E30" s="7" t="str">
        <f t="shared" si="0"/>
        <v>Caro</v>
      </c>
    </row>
    <row r="31" spans="2:5" x14ac:dyDescent="0.35">
      <c r="B31" s="7">
        <v>32</v>
      </c>
      <c r="C31" s="5" t="s">
        <v>95</v>
      </c>
      <c r="D31" s="6">
        <v>1200</v>
      </c>
      <c r="E31" s="7" t="str">
        <f t="shared" si="0"/>
        <v>Médio</v>
      </c>
    </row>
    <row r="32" spans="2:5" x14ac:dyDescent="0.35">
      <c r="B32" s="7">
        <v>33</v>
      </c>
      <c r="C32" s="5" t="s">
        <v>96</v>
      </c>
      <c r="D32" s="6">
        <v>2800</v>
      </c>
      <c r="E32" s="7" t="str">
        <f t="shared" si="0"/>
        <v>Caro</v>
      </c>
    </row>
    <row r="33" spans="2:5" x14ac:dyDescent="0.35">
      <c r="B33" s="7">
        <v>38</v>
      </c>
      <c r="C33" s="5" t="s">
        <v>97</v>
      </c>
      <c r="D33" s="6">
        <v>35</v>
      </c>
      <c r="E33" s="7" t="str">
        <f t="shared" si="0"/>
        <v>Barato</v>
      </c>
    </row>
    <row r="34" spans="2:5" x14ac:dyDescent="0.35">
      <c r="B34" s="7">
        <v>39</v>
      </c>
      <c r="C34" s="5" t="s">
        <v>98</v>
      </c>
      <c r="D34" s="6">
        <v>70</v>
      </c>
      <c r="E34" s="7" t="str">
        <f t="shared" si="0"/>
        <v>Barato</v>
      </c>
    </row>
    <row r="35" spans="2:5" x14ac:dyDescent="0.35">
      <c r="B35" s="7">
        <v>40</v>
      </c>
      <c r="C35" s="5" t="s">
        <v>99</v>
      </c>
      <c r="D35" s="6">
        <v>55</v>
      </c>
      <c r="E35" s="7" t="str">
        <f t="shared" si="0"/>
        <v>Barato</v>
      </c>
    </row>
    <row r="36" spans="2:5" x14ac:dyDescent="0.35">
      <c r="B36" s="7">
        <v>41</v>
      </c>
      <c r="C36" s="5" t="s">
        <v>100</v>
      </c>
      <c r="D36" s="6">
        <v>2049.9</v>
      </c>
      <c r="E36" s="7" t="str">
        <f t="shared" si="0"/>
        <v>Caro</v>
      </c>
    </row>
    <row r="37" spans="2:5" x14ac:dyDescent="0.35">
      <c r="B37" s="7">
        <v>42</v>
      </c>
      <c r="C37" s="5" t="s">
        <v>101</v>
      </c>
      <c r="D37" s="6">
        <v>3899.9</v>
      </c>
      <c r="E37" s="7" t="str">
        <f t="shared" si="0"/>
        <v>Caro</v>
      </c>
    </row>
    <row r="38" spans="2:5" x14ac:dyDescent="0.35">
      <c r="B38" s="7">
        <v>43</v>
      </c>
      <c r="C38" s="5" t="s">
        <v>102</v>
      </c>
      <c r="D38" s="6">
        <v>130</v>
      </c>
      <c r="E38" s="7" t="str">
        <f t="shared" si="0"/>
        <v>Barato</v>
      </c>
    </row>
    <row r="39" spans="2:5" x14ac:dyDescent="0.35">
      <c r="B39" s="7">
        <v>44</v>
      </c>
      <c r="C39" s="5" t="s">
        <v>103</v>
      </c>
      <c r="D39" s="6">
        <v>150</v>
      </c>
      <c r="E39" s="7" t="str">
        <f t="shared" si="0"/>
        <v>Barato</v>
      </c>
    </row>
    <row r="40" spans="2:5" x14ac:dyDescent="0.35">
      <c r="B40" s="7">
        <v>45</v>
      </c>
      <c r="C40" s="5" t="s">
        <v>104</v>
      </c>
      <c r="D40" s="6">
        <v>180</v>
      </c>
      <c r="E40" s="7" t="str">
        <f t="shared" si="0"/>
        <v>Barato</v>
      </c>
    </row>
    <row r="41" spans="2:5" x14ac:dyDescent="0.35">
      <c r="B41" s="7">
        <v>46</v>
      </c>
      <c r="C41" s="5" t="s">
        <v>105</v>
      </c>
      <c r="D41" s="6">
        <v>1600</v>
      </c>
      <c r="E41" s="7" t="str">
        <f t="shared" si="0"/>
        <v>Caro</v>
      </c>
    </row>
    <row r="42" spans="2:5" x14ac:dyDescent="0.35">
      <c r="B42" s="7">
        <v>47</v>
      </c>
      <c r="C42" s="5" t="s">
        <v>106</v>
      </c>
      <c r="D42" s="6">
        <v>2100</v>
      </c>
      <c r="E42" s="7" t="str">
        <f t="shared" si="0"/>
        <v>Caro</v>
      </c>
    </row>
    <row r="43" spans="2:5" x14ac:dyDescent="0.35">
      <c r="B43" s="7">
        <v>48</v>
      </c>
      <c r="C43" s="5" t="s">
        <v>107</v>
      </c>
      <c r="D43" s="6">
        <v>3200</v>
      </c>
      <c r="E43" s="7" t="str">
        <f t="shared" si="0"/>
        <v>Caro</v>
      </c>
    </row>
    <row r="44" spans="2:5" x14ac:dyDescent="0.35">
      <c r="B44" s="7">
        <v>49</v>
      </c>
      <c r="C44" s="5" t="s">
        <v>108</v>
      </c>
      <c r="D44" s="6">
        <v>4000</v>
      </c>
      <c r="E44" s="7" t="str">
        <f t="shared" si="0"/>
        <v>Caro</v>
      </c>
    </row>
    <row r="45" spans="2:5" x14ac:dyDescent="0.35">
      <c r="B45" s="7">
        <v>50</v>
      </c>
      <c r="C45" s="5" t="s">
        <v>109</v>
      </c>
      <c r="D45" s="6">
        <v>350</v>
      </c>
      <c r="E45" s="7" t="str">
        <f t="shared" si="0"/>
        <v>Barato</v>
      </c>
    </row>
    <row r="46" spans="2:5" x14ac:dyDescent="0.35">
      <c r="B46" s="7">
        <v>51</v>
      </c>
      <c r="C46" s="5" t="s">
        <v>110</v>
      </c>
      <c r="D46" s="6">
        <v>220</v>
      </c>
      <c r="E46" s="7" t="str">
        <f t="shared" si="0"/>
        <v>Barato</v>
      </c>
    </row>
    <row r="47" spans="2:5" x14ac:dyDescent="0.35">
      <c r="B47" s="7">
        <v>52</v>
      </c>
      <c r="C47" s="5" t="s">
        <v>111</v>
      </c>
      <c r="D47" s="6">
        <v>450</v>
      </c>
      <c r="E47" s="7" t="str">
        <f t="shared" si="0"/>
        <v>Barato</v>
      </c>
    </row>
    <row r="48" spans="2:5" x14ac:dyDescent="0.35">
      <c r="B48" s="7">
        <v>53</v>
      </c>
      <c r="C48" s="5" t="s">
        <v>112</v>
      </c>
      <c r="D48" s="6">
        <v>280</v>
      </c>
      <c r="E48" s="7" t="str">
        <f t="shared" si="0"/>
        <v>Barato</v>
      </c>
    </row>
    <row r="49" spans="2:5" x14ac:dyDescent="0.35">
      <c r="B49" s="7">
        <v>54</v>
      </c>
      <c r="C49" s="5" t="s">
        <v>113</v>
      </c>
      <c r="D49" s="6">
        <v>350</v>
      </c>
      <c r="E49" s="7" t="str">
        <f t="shared" si="0"/>
        <v>Barato</v>
      </c>
    </row>
    <row r="50" spans="2:5" x14ac:dyDescent="0.35">
      <c r="B50" s="7">
        <v>55</v>
      </c>
      <c r="C50" s="5" t="s">
        <v>114</v>
      </c>
      <c r="D50" s="6">
        <v>750</v>
      </c>
      <c r="E50" s="7" t="str">
        <f t="shared" si="0"/>
        <v>Médio</v>
      </c>
    </row>
    <row r="51" spans="2:5" x14ac:dyDescent="0.35">
      <c r="B51" s="7">
        <v>56</v>
      </c>
      <c r="C51" s="5" t="s">
        <v>5</v>
      </c>
      <c r="D51" s="6">
        <v>200</v>
      </c>
      <c r="E51" s="7" t="str">
        <f t="shared" si="0"/>
        <v>Barato</v>
      </c>
    </row>
    <row r="52" spans="2:5" x14ac:dyDescent="0.35">
      <c r="B52" s="7">
        <v>57</v>
      </c>
      <c r="C52" s="5" t="s">
        <v>115</v>
      </c>
      <c r="D52" s="6">
        <v>900</v>
      </c>
      <c r="E52" s="7" t="str">
        <f t="shared" si="0"/>
        <v>Médio</v>
      </c>
    </row>
    <row r="53" spans="2:5" x14ac:dyDescent="0.35">
      <c r="B53" s="7">
        <v>58</v>
      </c>
      <c r="C53" s="5" t="s">
        <v>116</v>
      </c>
      <c r="D53" s="6">
        <v>60</v>
      </c>
      <c r="E53" s="7" t="str">
        <f t="shared" si="0"/>
        <v>Barato</v>
      </c>
    </row>
    <row r="54" spans="2:5" x14ac:dyDescent="0.35">
      <c r="B54" s="7">
        <v>59</v>
      </c>
      <c r="C54" s="5" t="s">
        <v>117</v>
      </c>
      <c r="D54" s="6">
        <v>90</v>
      </c>
      <c r="E54" s="7" t="str">
        <f t="shared" si="0"/>
        <v>Barato</v>
      </c>
    </row>
    <row r="55" spans="2:5" x14ac:dyDescent="0.35">
      <c r="B55" s="7">
        <v>60</v>
      </c>
      <c r="C55" s="5" t="s">
        <v>118</v>
      </c>
      <c r="D55" s="6">
        <v>800</v>
      </c>
      <c r="E55" s="7" t="str">
        <f t="shared" si="0"/>
        <v>Médio</v>
      </c>
    </row>
    <row r="56" spans="2:5" x14ac:dyDescent="0.35">
      <c r="B56" s="7">
        <v>61</v>
      </c>
      <c r="C56" s="5" t="s">
        <v>119</v>
      </c>
      <c r="D56" s="6">
        <v>600</v>
      </c>
      <c r="E56" s="7" t="str">
        <f t="shared" si="0"/>
        <v>Barato</v>
      </c>
    </row>
    <row r="57" spans="2:5" x14ac:dyDescent="0.35">
      <c r="B57" s="7">
        <v>62</v>
      </c>
      <c r="C57" s="5" t="s">
        <v>120</v>
      </c>
      <c r="D57" s="6">
        <v>900</v>
      </c>
      <c r="E57" s="7" t="str">
        <f t="shared" si="0"/>
        <v>Médio</v>
      </c>
    </row>
    <row r="58" spans="2:5" x14ac:dyDescent="0.35">
      <c r="B58" s="7">
        <v>63</v>
      </c>
      <c r="C58" s="5" t="s">
        <v>121</v>
      </c>
      <c r="D58" s="6">
        <v>15000</v>
      </c>
      <c r="E58" s="7" t="str">
        <f t="shared" si="0"/>
        <v>Caro</v>
      </c>
    </row>
    <row r="59" spans="2:5" x14ac:dyDescent="0.35">
      <c r="B59" s="7">
        <v>64</v>
      </c>
      <c r="C59" s="5" t="s">
        <v>122</v>
      </c>
      <c r="D59" s="6">
        <v>1800</v>
      </c>
      <c r="E59" s="7" t="str">
        <f t="shared" si="0"/>
        <v>Caro</v>
      </c>
    </row>
    <row r="60" spans="2:5" x14ac:dyDescent="0.35">
      <c r="B60" s="7">
        <v>65</v>
      </c>
      <c r="C60" s="5" t="s">
        <v>123</v>
      </c>
      <c r="D60" s="6">
        <v>1800</v>
      </c>
      <c r="E60" s="7" t="str">
        <f t="shared" si="0"/>
        <v>Caro</v>
      </c>
    </row>
    <row r="61" spans="2:5" x14ac:dyDescent="0.35">
      <c r="B61" s="7">
        <v>66</v>
      </c>
      <c r="C61" s="5" t="s">
        <v>124</v>
      </c>
      <c r="D61" s="6">
        <v>5000</v>
      </c>
      <c r="E61" s="7" t="str">
        <f t="shared" si="0"/>
        <v>Caro</v>
      </c>
    </row>
    <row r="62" spans="2:5" x14ac:dyDescent="0.35">
      <c r="B62" s="7">
        <v>67</v>
      </c>
      <c r="C62" s="5" t="s">
        <v>125</v>
      </c>
      <c r="D62" s="6">
        <v>4000</v>
      </c>
      <c r="E62" s="7" t="str">
        <f t="shared" si="0"/>
        <v>Caro</v>
      </c>
    </row>
    <row r="63" spans="2:5" x14ac:dyDescent="0.35">
      <c r="B63" s="7">
        <v>68</v>
      </c>
      <c r="C63" s="5" t="s">
        <v>126</v>
      </c>
      <c r="D63" s="6">
        <v>6500</v>
      </c>
      <c r="E63" s="7" t="str">
        <f t="shared" si="0"/>
        <v>Caro</v>
      </c>
    </row>
    <row r="64" spans="2:5" x14ac:dyDescent="0.35">
      <c r="B64" s="7">
        <v>73</v>
      </c>
      <c r="C64" s="5" t="s">
        <v>127</v>
      </c>
      <c r="D64" s="6">
        <v>450</v>
      </c>
      <c r="E64" s="7" t="str">
        <f t="shared" si="0"/>
        <v>Barato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3"/>
  <sheetViews>
    <sheetView topLeftCell="F1" workbookViewId="0">
      <selection activeCell="H11" sqref="H11:K13"/>
    </sheetView>
  </sheetViews>
  <sheetFormatPr defaultRowHeight="14.5" x14ac:dyDescent="0.35"/>
  <cols>
    <col min="1" max="2" width="27.54296875" bestFit="1" customWidth="1"/>
    <col min="3" max="3" width="18.08984375" bestFit="1" customWidth="1"/>
    <col min="4" max="4" width="17.26953125" customWidth="1"/>
    <col min="5" max="5" width="20" customWidth="1"/>
    <col min="8" max="8" width="18.54296875" customWidth="1"/>
    <col min="9" max="9" width="28" bestFit="1" customWidth="1"/>
    <col min="10" max="10" width="17.26953125" bestFit="1" customWidth="1"/>
    <col min="11" max="11" width="18.26953125" customWidth="1"/>
  </cols>
  <sheetData>
    <row r="1" spans="2:11" x14ac:dyDescent="0.35">
      <c r="B1" s="13" t="s">
        <v>131</v>
      </c>
      <c r="H1" s="13" t="s">
        <v>133</v>
      </c>
    </row>
    <row r="2" spans="2:11" x14ac:dyDescent="0.35">
      <c r="B2" t="s">
        <v>139</v>
      </c>
      <c r="H2" t="s">
        <v>139</v>
      </c>
    </row>
    <row r="3" spans="2:11" x14ac:dyDescent="0.35">
      <c r="B3" t="s">
        <v>146</v>
      </c>
      <c r="H3" t="s">
        <v>140</v>
      </c>
    </row>
    <row r="4" spans="2:11" x14ac:dyDescent="0.35">
      <c r="B4" t="s">
        <v>147</v>
      </c>
      <c r="H4" t="s">
        <v>144</v>
      </c>
    </row>
    <row r="5" spans="2:11" x14ac:dyDescent="0.35">
      <c r="B5" t="s">
        <v>148</v>
      </c>
      <c r="H5" t="s">
        <v>141</v>
      </c>
    </row>
    <row r="6" spans="2:11" x14ac:dyDescent="0.35">
      <c r="B6" t="s">
        <v>142</v>
      </c>
      <c r="H6" t="s">
        <v>145</v>
      </c>
    </row>
    <row r="7" spans="2:11" x14ac:dyDescent="0.35">
      <c r="B7" t="s">
        <v>143</v>
      </c>
    </row>
    <row r="10" spans="2:11" x14ac:dyDescent="0.35">
      <c r="B10" s="8" t="s">
        <v>131</v>
      </c>
      <c r="C10" t="s">
        <v>129</v>
      </c>
      <c r="D10" t="s">
        <v>130</v>
      </c>
      <c r="E10" t="s">
        <v>132</v>
      </c>
      <c r="H10" s="8" t="s">
        <v>137</v>
      </c>
      <c r="I10" t="s">
        <v>138</v>
      </c>
      <c r="J10" t="s">
        <v>130</v>
      </c>
      <c r="K10" t="s">
        <v>129</v>
      </c>
    </row>
    <row r="11" spans="2:11" x14ac:dyDescent="0.35">
      <c r="B11" s="9" t="s">
        <v>121</v>
      </c>
      <c r="C11" s="11">
        <v>15000</v>
      </c>
      <c r="D11" s="10">
        <v>0.13976279458503027</v>
      </c>
      <c r="E11" s="10">
        <v>0.13976279458503027</v>
      </c>
      <c r="H11" s="9" t="s">
        <v>134</v>
      </c>
      <c r="I11" s="14">
        <v>32</v>
      </c>
      <c r="J11" s="10">
        <v>0.5161290322580645</v>
      </c>
      <c r="K11" s="10">
        <v>0.5161290322580645</v>
      </c>
    </row>
    <row r="12" spans="2:11" x14ac:dyDescent="0.35">
      <c r="B12" s="9" t="s">
        <v>91</v>
      </c>
      <c r="C12" s="11">
        <v>12000</v>
      </c>
      <c r="D12" s="10">
        <v>0.11181023566802421</v>
      </c>
      <c r="E12" s="10">
        <v>0.2515730302530545</v>
      </c>
      <c r="H12" s="9" t="s">
        <v>135</v>
      </c>
      <c r="I12" s="14">
        <v>20</v>
      </c>
      <c r="J12" s="10">
        <v>0.32258064516129031</v>
      </c>
      <c r="K12" s="10">
        <v>0.83870967741935487</v>
      </c>
    </row>
    <row r="13" spans="2:11" x14ac:dyDescent="0.35">
      <c r="B13" s="9" t="s">
        <v>126</v>
      </c>
      <c r="C13" s="11">
        <v>6500</v>
      </c>
      <c r="D13" s="10">
        <v>6.0563877653513121E-2</v>
      </c>
      <c r="E13" s="10">
        <v>0.31213690790656762</v>
      </c>
      <c r="H13" s="9" t="s">
        <v>136</v>
      </c>
      <c r="I13" s="14">
        <v>10</v>
      </c>
      <c r="J13" s="10">
        <v>0.16129032258064516</v>
      </c>
      <c r="K13" s="10">
        <v>1</v>
      </c>
    </row>
    <row r="14" spans="2:11" x14ac:dyDescent="0.35">
      <c r="B14" s="9" t="s">
        <v>90</v>
      </c>
      <c r="C14" s="11">
        <v>6000</v>
      </c>
      <c r="D14" s="10">
        <v>5.5905117834012107E-2</v>
      </c>
      <c r="E14" s="10">
        <v>0.3680420257405797</v>
      </c>
      <c r="H14" s="9" t="s">
        <v>128</v>
      </c>
      <c r="I14" s="14">
        <v>62</v>
      </c>
      <c r="J14" s="10">
        <v>1</v>
      </c>
      <c r="K14" s="10"/>
    </row>
    <row r="15" spans="2:11" x14ac:dyDescent="0.35">
      <c r="B15" s="9" t="s">
        <v>72</v>
      </c>
      <c r="C15" s="11">
        <v>5300</v>
      </c>
      <c r="D15" s="10">
        <v>4.9382854086710698E-2</v>
      </c>
      <c r="E15" s="10">
        <v>0.41742487982729043</v>
      </c>
    </row>
    <row r="16" spans="2:11" x14ac:dyDescent="0.35">
      <c r="B16" s="9" t="s">
        <v>124</v>
      </c>
      <c r="C16" s="11">
        <v>5000</v>
      </c>
      <c r="D16" s="10">
        <v>4.6587598195010092E-2</v>
      </c>
      <c r="E16" s="10">
        <v>0.4640124780223005</v>
      </c>
    </row>
    <row r="17" spans="2:5" x14ac:dyDescent="0.35">
      <c r="B17" s="9" t="s">
        <v>78</v>
      </c>
      <c r="C17" s="11">
        <v>4500</v>
      </c>
      <c r="D17" s="10">
        <v>4.1928838375509078E-2</v>
      </c>
      <c r="E17" s="10">
        <v>0.50594131639780959</v>
      </c>
    </row>
    <row r="18" spans="2:5" x14ac:dyDescent="0.35">
      <c r="B18" s="9" t="s">
        <v>125</v>
      </c>
      <c r="C18" s="11">
        <v>4000</v>
      </c>
      <c r="D18" s="10">
        <v>3.7270078556008071E-2</v>
      </c>
      <c r="E18" s="10">
        <v>0.54321139495381765</v>
      </c>
    </row>
    <row r="19" spans="2:5" x14ac:dyDescent="0.35">
      <c r="B19" s="9" t="s">
        <v>108</v>
      </c>
      <c r="C19" s="11">
        <v>4000</v>
      </c>
      <c r="D19" s="10">
        <v>3.7270078556008071E-2</v>
      </c>
      <c r="E19" s="10">
        <v>0.58048147350982571</v>
      </c>
    </row>
    <row r="20" spans="2:5" x14ac:dyDescent="0.35">
      <c r="B20" s="9" t="s">
        <v>101</v>
      </c>
      <c r="C20" s="11">
        <v>3899.9</v>
      </c>
      <c r="D20" s="10">
        <v>3.633739484014397E-2</v>
      </c>
      <c r="E20" s="10">
        <v>0.61681886834996968</v>
      </c>
    </row>
    <row r="21" spans="2:5" x14ac:dyDescent="0.35">
      <c r="B21" s="9" t="s">
        <v>94</v>
      </c>
      <c r="C21" s="11">
        <v>3500</v>
      </c>
      <c r="D21" s="10">
        <v>3.2611318736507064E-2</v>
      </c>
      <c r="E21" s="10">
        <v>0.64943018708647671</v>
      </c>
    </row>
    <row r="22" spans="2:5" x14ac:dyDescent="0.35">
      <c r="B22" s="9" t="s">
        <v>107</v>
      </c>
      <c r="C22" s="11">
        <v>3200</v>
      </c>
      <c r="D22" s="10">
        <v>2.9816062844806458E-2</v>
      </c>
      <c r="E22" s="10">
        <v>0.67924624993128313</v>
      </c>
    </row>
    <row r="23" spans="2:5" x14ac:dyDescent="0.35">
      <c r="B23" s="9" t="s">
        <v>69</v>
      </c>
      <c r="C23" s="11">
        <v>2850</v>
      </c>
      <c r="D23" s="10">
        <v>2.655493097115575E-2</v>
      </c>
      <c r="E23" s="10">
        <v>0.70580118090243893</v>
      </c>
    </row>
    <row r="24" spans="2:5" x14ac:dyDescent="0.35">
      <c r="B24" s="9" t="s">
        <v>96</v>
      </c>
      <c r="C24" s="11">
        <v>2800</v>
      </c>
      <c r="D24" s="10">
        <v>2.6089054989205652E-2</v>
      </c>
      <c r="E24" s="10">
        <v>0.73189023589164459</v>
      </c>
    </row>
    <row r="25" spans="2:5" x14ac:dyDescent="0.35">
      <c r="B25" s="9" t="s">
        <v>77</v>
      </c>
      <c r="C25" s="11">
        <v>2200</v>
      </c>
      <c r="D25" s="10">
        <v>2.049854320580444E-2</v>
      </c>
      <c r="E25" s="10">
        <v>0.75238877909744906</v>
      </c>
    </row>
    <row r="26" spans="2:5" x14ac:dyDescent="0.35">
      <c r="B26" s="9" t="s">
        <v>106</v>
      </c>
      <c r="C26" s="11">
        <v>2100</v>
      </c>
      <c r="D26" s="10">
        <v>1.9566791241904236E-2</v>
      </c>
      <c r="E26" s="10">
        <v>0.77195557033935325</v>
      </c>
    </row>
    <row r="27" spans="2:5" x14ac:dyDescent="0.35">
      <c r="B27" s="9" t="s">
        <v>100</v>
      </c>
      <c r="C27" s="11">
        <v>2049.9</v>
      </c>
      <c r="D27" s="10">
        <v>1.9099983507990238E-2</v>
      </c>
      <c r="E27" s="10">
        <v>0.79105555384734338</v>
      </c>
    </row>
    <row r="28" spans="2:5" x14ac:dyDescent="0.35">
      <c r="B28" s="9" t="s">
        <v>123</v>
      </c>
      <c r="C28" s="11">
        <v>1800</v>
      </c>
      <c r="D28" s="10">
        <v>1.6771535350203634E-2</v>
      </c>
      <c r="E28" s="10">
        <v>0.80782708919754709</v>
      </c>
    </row>
    <row r="29" spans="2:5" x14ac:dyDescent="0.35">
      <c r="B29" s="9" t="s">
        <v>122</v>
      </c>
      <c r="C29" s="11">
        <v>1800</v>
      </c>
      <c r="D29" s="10">
        <v>1.6771535350203634E-2</v>
      </c>
      <c r="E29" s="10">
        <v>0.82459862454775068</v>
      </c>
    </row>
    <row r="30" spans="2:5" x14ac:dyDescent="0.35">
      <c r="B30" s="9" t="s">
        <v>105</v>
      </c>
      <c r="C30" s="11">
        <v>1600</v>
      </c>
      <c r="D30" s="10">
        <v>1.4908031422403229E-2</v>
      </c>
      <c r="E30" s="10">
        <v>0.83950665597015395</v>
      </c>
    </row>
    <row r="31" spans="2:5" x14ac:dyDescent="0.35">
      <c r="B31" s="9" t="s">
        <v>95</v>
      </c>
      <c r="C31" s="11">
        <v>1200</v>
      </c>
      <c r="D31" s="10">
        <v>1.1181023566802421E-2</v>
      </c>
      <c r="E31" s="10">
        <v>0.85068767953695634</v>
      </c>
    </row>
    <row r="32" spans="2:5" x14ac:dyDescent="0.35">
      <c r="B32" s="9" t="s">
        <v>80</v>
      </c>
      <c r="C32" s="11">
        <v>1200</v>
      </c>
      <c r="D32" s="10">
        <v>1.1181023566802421E-2</v>
      </c>
      <c r="E32" s="10">
        <v>0.86186870310375874</v>
      </c>
    </row>
    <row r="33" spans="2:5" x14ac:dyDescent="0.35">
      <c r="B33" s="9" t="s">
        <v>93</v>
      </c>
      <c r="C33" s="11">
        <v>1000</v>
      </c>
      <c r="D33" s="10">
        <v>9.3175196390020178E-3</v>
      </c>
      <c r="E33" s="10">
        <v>0.87118622274276081</v>
      </c>
    </row>
    <row r="34" spans="2:5" x14ac:dyDescent="0.35">
      <c r="B34" s="9" t="s">
        <v>115</v>
      </c>
      <c r="C34" s="11">
        <v>900</v>
      </c>
      <c r="D34" s="10">
        <v>8.385767675101817E-3</v>
      </c>
      <c r="E34" s="10">
        <v>0.8795719904178626</v>
      </c>
    </row>
    <row r="35" spans="2:5" x14ac:dyDescent="0.35">
      <c r="B35" s="9" t="s">
        <v>92</v>
      </c>
      <c r="C35" s="11">
        <v>900</v>
      </c>
      <c r="D35" s="10">
        <v>8.385767675101817E-3</v>
      </c>
      <c r="E35" s="10">
        <v>0.8879577580929644</v>
      </c>
    </row>
    <row r="36" spans="2:5" x14ac:dyDescent="0.35">
      <c r="B36" s="9" t="s">
        <v>120</v>
      </c>
      <c r="C36" s="11">
        <v>900</v>
      </c>
      <c r="D36" s="10">
        <v>8.385767675101817E-3</v>
      </c>
      <c r="E36" s="10">
        <v>0.8963435257680662</v>
      </c>
    </row>
    <row r="37" spans="2:5" x14ac:dyDescent="0.35">
      <c r="B37" s="9" t="s">
        <v>76</v>
      </c>
      <c r="C37" s="11">
        <v>800</v>
      </c>
      <c r="D37" s="10">
        <v>7.4540157112016146E-3</v>
      </c>
      <c r="E37" s="10">
        <v>0.90379754147926783</v>
      </c>
    </row>
    <row r="38" spans="2:5" x14ac:dyDescent="0.35">
      <c r="B38" s="9" t="s">
        <v>118</v>
      </c>
      <c r="C38" s="11">
        <v>800</v>
      </c>
      <c r="D38" s="10">
        <v>7.4540157112016146E-3</v>
      </c>
      <c r="E38" s="10">
        <v>0.91125155719046946</v>
      </c>
    </row>
    <row r="39" spans="2:5" x14ac:dyDescent="0.35">
      <c r="B39" s="9" t="s">
        <v>114</v>
      </c>
      <c r="C39" s="11">
        <v>750</v>
      </c>
      <c r="D39" s="10">
        <v>6.9881397292515133E-3</v>
      </c>
      <c r="E39" s="10">
        <v>0.91823969691972096</v>
      </c>
    </row>
    <row r="40" spans="2:5" x14ac:dyDescent="0.35">
      <c r="B40" s="9" t="s">
        <v>81</v>
      </c>
      <c r="C40" s="11">
        <v>700</v>
      </c>
      <c r="D40" s="10">
        <v>6.522263747301413E-3</v>
      </c>
      <c r="E40" s="10">
        <v>0.92476196066702243</v>
      </c>
    </row>
    <row r="41" spans="2:5" x14ac:dyDescent="0.35">
      <c r="B41" s="9" t="s">
        <v>4</v>
      </c>
      <c r="C41" s="11">
        <v>600</v>
      </c>
      <c r="D41" s="10">
        <v>5.5905117834012105E-3</v>
      </c>
      <c r="E41" s="10">
        <v>0.93035247245042363</v>
      </c>
    </row>
    <row r="42" spans="2:5" x14ac:dyDescent="0.35">
      <c r="B42" s="9" t="s">
        <v>119</v>
      </c>
      <c r="C42" s="11">
        <v>600</v>
      </c>
      <c r="D42" s="10">
        <v>5.5905117834012105E-3</v>
      </c>
      <c r="E42" s="10">
        <v>0.93594298423382483</v>
      </c>
    </row>
    <row r="43" spans="2:5" x14ac:dyDescent="0.35">
      <c r="B43" s="9" t="s">
        <v>75</v>
      </c>
      <c r="C43" s="11">
        <v>550</v>
      </c>
      <c r="D43" s="10">
        <v>5.1246358014511101E-3</v>
      </c>
      <c r="E43" s="10">
        <v>0.94106762003527589</v>
      </c>
    </row>
    <row r="44" spans="2:5" x14ac:dyDescent="0.35">
      <c r="B44" s="9" t="s">
        <v>73</v>
      </c>
      <c r="C44" s="11">
        <v>500</v>
      </c>
      <c r="D44" s="10">
        <v>4.6587598195010089E-3</v>
      </c>
      <c r="E44" s="10">
        <v>0.94572637985477692</v>
      </c>
    </row>
    <row r="45" spans="2:5" x14ac:dyDescent="0.35">
      <c r="B45" s="9" t="s">
        <v>87</v>
      </c>
      <c r="C45" s="11">
        <v>500</v>
      </c>
      <c r="D45" s="10">
        <v>4.6587598195010089E-3</v>
      </c>
      <c r="E45" s="10">
        <v>0.95038513967427796</v>
      </c>
    </row>
    <row r="46" spans="2:5" x14ac:dyDescent="0.35">
      <c r="B46" s="9" t="s">
        <v>127</v>
      </c>
      <c r="C46" s="11">
        <v>450</v>
      </c>
      <c r="D46" s="10">
        <v>4.1928838375509085E-3</v>
      </c>
      <c r="E46" s="10">
        <v>0.95457802351182885</v>
      </c>
    </row>
    <row r="47" spans="2:5" x14ac:dyDescent="0.35">
      <c r="B47" s="9" t="s">
        <v>111</v>
      </c>
      <c r="C47" s="11">
        <v>450</v>
      </c>
      <c r="D47" s="10">
        <v>4.1928838375509085E-3</v>
      </c>
      <c r="E47" s="10">
        <v>0.95877090734937975</v>
      </c>
    </row>
    <row r="48" spans="2:5" x14ac:dyDescent="0.35">
      <c r="B48" s="9" t="s">
        <v>85</v>
      </c>
      <c r="C48" s="11">
        <v>400</v>
      </c>
      <c r="D48" s="10">
        <v>3.7270078556008073E-3</v>
      </c>
      <c r="E48" s="10">
        <v>0.96249791520498051</v>
      </c>
    </row>
    <row r="49" spans="2:5" x14ac:dyDescent="0.35">
      <c r="B49" s="9" t="s">
        <v>3</v>
      </c>
      <c r="C49" s="11">
        <v>350</v>
      </c>
      <c r="D49" s="10">
        <v>3.2611318736507065E-3</v>
      </c>
      <c r="E49" s="10">
        <v>0.96575904707863125</v>
      </c>
    </row>
    <row r="50" spans="2:5" x14ac:dyDescent="0.35">
      <c r="B50" s="9" t="s">
        <v>113</v>
      </c>
      <c r="C50" s="11">
        <v>350</v>
      </c>
      <c r="D50" s="10">
        <v>3.2611318736507065E-3</v>
      </c>
      <c r="E50" s="10">
        <v>0.96902017895228199</v>
      </c>
    </row>
    <row r="51" spans="2:5" x14ac:dyDescent="0.35">
      <c r="B51" s="9" t="s">
        <v>109</v>
      </c>
      <c r="C51" s="11">
        <v>350</v>
      </c>
      <c r="D51" s="10">
        <v>3.2611318736507065E-3</v>
      </c>
      <c r="E51" s="10">
        <v>0.97228131082593272</v>
      </c>
    </row>
    <row r="52" spans="2:5" x14ac:dyDescent="0.35">
      <c r="B52" s="9" t="s">
        <v>89</v>
      </c>
      <c r="C52" s="11">
        <v>300</v>
      </c>
      <c r="D52" s="10">
        <v>2.7952558917006052E-3</v>
      </c>
      <c r="E52" s="10">
        <v>0.97507656671763332</v>
      </c>
    </row>
    <row r="53" spans="2:5" x14ac:dyDescent="0.35">
      <c r="B53" s="9" t="s">
        <v>79</v>
      </c>
      <c r="C53" s="11">
        <v>300</v>
      </c>
      <c r="D53" s="10">
        <v>2.7952558917006052E-3</v>
      </c>
      <c r="E53" s="10">
        <v>0.97787182260933392</v>
      </c>
    </row>
    <row r="54" spans="2:5" x14ac:dyDescent="0.35">
      <c r="B54" s="9" t="s">
        <v>112</v>
      </c>
      <c r="C54" s="11">
        <v>280</v>
      </c>
      <c r="D54" s="10">
        <v>2.6089054989205649E-3</v>
      </c>
      <c r="E54" s="10">
        <v>0.98048072810825448</v>
      </c>
    </row>
    <row r="55" spans="2:5" x14ac:dyDescent="0.35">
      <c r="B55" s="9" t="s">
        <v>88</v>
      </c>
      <c r="C55" s="11">
        <v>250</v>
      </c>
      <c r="D55" s="10">
        <v>2.3293799097505044E-3</v>
      </c>
      <c r="E55" s="10">
        <v>0.98281010801800495</v>
      </c>
    </row>
    <row r="56" spans="2:5" x14ac:dyDescent="0.35">
      <c r="B56" s="9" t="s">
        <v>110</v>
      </c>
      <c r="C56" s="11">
        <v>220</v>
      </c>
      <c r="D56" s="10">
        <v>2.049854320580444E-3</v>
      </c>
      <c r="E56" s="10">
        <v>0.98485996233858542</v>
      </c>
    </row>
    <row r="57" spans="2:5" x14ac:dyDescent="0.35">
      <c r="B57" s="9" t="s">
        <v>5</v>
      </c>
      <c r="C57" s="11">
        <v>200</v>
      </c>
      <c r="D57" s="10">
        <v>1.8635039278004036E-3</v>
      </c>
      <c r="E57" s="10">
        <v>0.98672346626638585</v>
      </c>
    </row>
    <row r="58" spans="2:5" x14ac:dyDescent="0.35">
      <c r="B58" s="9" t="s">
        <v>83</v>
      </c>
      <c r="C58" s="11">
        <v>200</v>
      </c>
      <c r="D58" s="10">
        <v>1.8635039278004036E-3</v>
      </c>
      <c r="E58" s="10">
        <v>0.98858697019418618</v>
      </c>
    </row>
    <row r="59" spans="2:5" x14ac:dyDescent="0.35">
      <c r="B59" s="9" t="s">
        <v>104</v>
      </c>
      <c r="C59" s="11">
        <v>180</v>
      </c>
      <c r="D59" s="10">
        <v>1.6771535350203633E-3</v>
      </c>
      <c r="E59" s="10">
        <v>0.99026412372920658</v>
      </c>
    </row>
    <row r="60" spans="2:5" x14ac:dyDescent="0.35">
      <c r="B60" s="9" t="s">
        <v>82</v>
      </c>
      <c r="C60" s="11">
        <v>150</v>
      </c>
      <c r="D60" s="10">
        <v>1.3976279458503026E-3</v>
      </c>
      <c r="E60" s="10">
        <v>0.99166175167505688</v>
      </c>
    </row>
    <row r="61" spans="2:5" x14ac:dyDescent="0.35">
      <c r="B61" s="9" t="s">
        <v>103</v>
      </c>
      <c r="C61" s="11">
        <v>150</v>
      </c>
      <c r="D61" s="10">
        <v>1.3976279458503026E-3</v>
      </c>
      <c r="E61" s="10">
        <v>0.99305937962090718</v>
      </c>
    </row>
    <row r="62" spans="2:5" x14ac:dyDescent="0.35">
      <c r="B62" s="9" t="s">
        <v>84</v>
      </c>
      <c r="C62" s="11">
        <v>130</v>
      </c>
      <c r="D62" s="10">
        <v>1.2112775530702623E-3</v>
      </c>
      <c r="E62" s="10">
        <v>0.99427065717397745</v>
      </c>
    </row>
    <row r="63" spans="2:5" x14ac:dyDescent="0.35">
      <c r="B63" s="9" t="s">
        <v>102</v>
      </c>
      <c r="C63" s="11">
        <v>130</v>
      </c>
      <c r="D63" s="10">
        <v>1.2112775530702623E-3</v>
      </c>
      <c r="E63" s="10">
        <v>0.99548193472704771</v>
      </c>
    </row>
    <row r="64" spans="2:5" x14ac:dyDescent="0.35">
      <c r="B64" s="9" t="s">
        <v>117</v>
      </c>
      <c r="C64" s="11">
        <v>90</v>
      </c>
      <c r="D64" s="10">
        <v>8.3857676751018166E-4</v>
      </c>
      <c r="E64" s="10">
        <v>0.99632051149455791</v>
      </c>
    </row>
    <row r="65" spans="2:5" x14ac:dyDescent="0.35">
      <c r="B65" s="9" t="s">
        <v>74</v>
      </c>
      <c r="C65" s="11">
        <v>80</v>
      </c>
      <c r="D65" s="10">
        <v>7.454015711201615E-4</v>
      </c>
      <c r="E65" s="10">
        <v>0.99706591306567804</v>
      </c>
    </row>
    <row r="66" spans="2:5" x14ac:dyDescent="0.35">
      <c r="B66" s="9" t="s">
        <v>98</v>
      </c>
      <c r="C66" s="11">
        <v>70</v>
      </c>
      <c r="D66" s="10">
        <v>6.5222637473014123E-4</v>
      </c>
      <c r="E66" s="10">
        <v>0.99771813944040821</v>
      </c>
    </row>
    <row r="67" spans="2:5" x14ac:dyDescent="0.35">
      <c r="B67" s="9" t="s">
        <v>116</v>
      </c>
      <c r="C67" s="11">
        <v>60</v>
      </c>
      <c r="D67" s="10">
        <v>5.5905117834012107E-4</v>
      </c>
      <c r="E67" s="10">
        <v>0.99827719061874831</v>
      </c>
    </row>
    <row r="68" spans="2:5" x14ac:dyDescent="0.35">
      <c r="B68" s="9" t="s">
        <v>99</v>
      </c>
      <c r="C68" s="11">
        <v>55</v>
      </c>
      <c r="D68" s="10">
        <v>5.1246358014511099E-4</v>
      </c>
      <c r="E68" s="10">
        <v>0.99878965419889343</v>
      </c>
    </row>
    <row r="69" spans="2:5" x14ac:dyDescent="0.35">
      <c r="B69" s="9" t="s">
        <v>86</v>
      </c>
      <c r="C69" s="11">
        <v>50</v>
      </c>
      <c r="D69" s="10">
        <v>4.6587598195010091E-4</v>
      </c>
      <c r="E69" s="10">
        <v>0.99925553018084357</v>
      </c>
    </row>
    <row r="70" spans="2:5" x14ac:dyDescent="0.35">
      <c r="B70" s="9" t="s">
        <v>97</v>
      </c>
      <c r="C70" s="11">
        <v>35</v>
      </c>
      <c r="D70" s="10">
        <v>3.2611318736507062E-4</v>
      </c>
      <c r="E70" s="10">
        <v>0.99958164336820854</v>
      </c>
    </row>
    <row r="71" spans="2:5" x14ac:dyDescent="0.35">
      <c r="B71" s="9" t="s">
        <v>70</v>
      </c>
      <c r="C71" s="11">
        <v>29.9</v>
      </c>
      <c r="D71" s="10">
        <v>2.7859383720616035E-4</v>
      </c>
      <c r="E71" s="10">
        <v>0.99986023720541473</v>
      </c>
    </row>
    <row r="72" spans="2:5" x14ac:dyDescent="0.35">
      <c r="B72" s="9" t="s">
        <v>71</v>
      </c>
      <c r="C72" s="11">
        <v>15</v>
      </c>
      <c r="D72" s="10">
        <v>1.3976279458503027E-4</v>
      </c>
      <c r="E72" s="10">
        <v>0.99999999999999978</v>
      </c>
    </row>
    <row r="73" spans="2:5" x14ac:dyDescent="0.35">
      <c r="B73" s="9" t="s">
        <v>128</v>
      </c>
      <c r="C73" s="11">
        <v>107324.70000000001</v>
      </c>
      <c r="D73" s="10">
        <v>1</v>
      </c>
      <c r="E73" s="10"/>
    </row>
  </sheetData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6"/>
  <sheetViews>
    <sheetView tabSelected="1" topLeftCell="A2" zoomScale="70" zoomScaleNormal="75" workbookViewId="0">
      <selection activeCell="Q18" sqref="Q18"/>
    </sheetView>
  </sheetViews>
  <sheetFormatPr defaultRowHeight="14.5" x14ac:dyDescent="0.35"/>
  <cols>
    <col min="1" max="4" width="8.7265625" style="15"/>
    <col min="5" max="5" width="4" style="15" customWidth="1"/>
    <col min="6" max="6" width="13.36328125" style="15" customWidth="1"/>
    <col min="7" max="10" width="8.7265625" style="15"/>
    <col min="11" max="11" width="14.08984375" style="15" customWidth="1"/>
    <col min="12" max="12" width="21.08984375" style="15" customWidth="1"/>
    <col min="13" max="16384" width="8.7265625" style="15"/>
  </cols>
  <sheetData>
    <row r="2" spans="2:16" x14ac:dyDescent="0.35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2:16" ht="18.5" x14ac:dyDescent="0.45">
      <c r="B3" s="16"/>
      <c r="C3" s="16"/>
      <c r="D3" s="16"/>
      <c r="E3" s="16"/>
      <c r="F3" s="17" t="s">
        <v>149</v>
      </c>
      <c r="G3" s="17"/>
      <c r="H3" s="17"/>
      <c r="I3" s="17"/>
      <c r="J3" s="17"/>
      <c r="K3" s="17"/>
      <c r="L3" s="17"/>
      <c r="M3" s="16"/>
      <c r="N3" s="16"/>
      <c r="O3" s="16"/>
      <c r="P3" s="16"/>
    </row>
    <row r="4" spans="2:16" x14ac:dyDescent="0.35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2:16" x14ac:dyDescent="0.3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2:16" ht="15.5" x14ac:dyDescent="0.35">
      <c r="B6" s="16"/>
      <c r="C6" s="18" t="s">
        <v>150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2:16" ht="15.5" x14ac:dyDescent="0.35">
      <c r="B7" s="16"/>
      <c r="C7" s="19"/>
      <c r="D7" s="1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2:16" ht="15.5" x14ac:dyDescent="0.35">
      <c r="B8" s="16"/>
      <c r="C8" s="18" t="s">
        <v>151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2:16" x14ac:dyDescent="0.35">
      <c r="B9" s="16"/>
      <c r="C9" s="19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2:16" ht="15.5" x14ac:dyDescent="0.35">
      <c r="B10" s="16"/>
      <c r="C10" s="18" t="s">
        <v>152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2:16" x14ac:dyDescent="0.35">
      <c r="B11" s="16"/>
      <c r="C11" s="19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2:16" ht="15.5" x14ac:dyDescent="0.35">
      <c r="B12" s="16"/>
      <c r="C12" s="18" t="s">
        <v>153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2:16" x14ac:dyDescent="0.35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2:16" x14ac:dyDescent="0.35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2:16" x14ac:dyDescent="0.3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2:16" x14ac:dyDescent="0.3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2:16" x14ac:dyDescent="0.35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2:16" x14ac:dyDescent="0.35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2:16" x14ac:dyDescent="0.35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</row>
    <row r="20" spans="2:16" x14ac:dyDescent="0.35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spans="2:16" x14ac:dyDescent="0.35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spans="2:16" x14ac:dyDescent="0.35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2:16" x14ac:dyDescent="0.3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spans="2:16" x14ac:dyDescent="0.35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2:16" x14ac:dyDescent="0.3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2:16" x14ac:dyDescent="0.35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</sheetData>
  <mergeCells count="1">
    <mergeCell ref="F3:L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Dados puxados do sistema</vt:lpstr>
      <vt:lpstr>Dados tratados</vt:lpstr>
      <vt:lpstr>Tabela Dinâmica</vt:lpstr>
      <vt:lpstr>Dashboard</vt:lpstr>
      <vt:lpstr>'Dados puxados do sistema'!produtos</vt:lpstr>
      <vt:lpstr>'Dados tratados'!produtos_1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2026-05-02T16:20:15Z</dcterms:created>
  <dcterms:modified xsi:type="dcterms:W3CDTF">2026-05-02T20:09:58Z</dcterms:modified>
</cp:coreProperties>
</file>